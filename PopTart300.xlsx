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ropbox\F3\"/>
    </mc:Choice>
  </mc:AlternateContent>
  <xr:revisionPtr revIDLastSave="0" documentId="13_ncr:1_{9535B10A-205E-496B-863C-34DF45247B27}" xr6:coauthVersionLast="47" xr6:coauthVersionMax="47" xr10:uidLastSave="{00000000-0000-0000-0000-000000000000}"/>
  <bookViews>
    <workbookView xWindow="-28920" yWindow="-2445" windowWidth="29040" windowHeight="15720" xr2:uid="{00000000-000D-0000-FFFF-FFFF00000000}"/>
  </bookViews>
  <sheets>
    <sheet name="MasterData" sheetId="1" r:id="rId1"/>
    <sheet name="Rafters" sheetId="2" state="hidden" r:id="rId2"/>
  </sheets>
  <definedNames>
    <definedName name="_xlnm._FilterDatabase" localSheetId="0" hidden="1">MasterData!$B$1:$B$957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1" i="1" l="1"/>
  <c r="R71" i="1"/>
  <c r="W71" i="1"/>
  <c r="N71" i="1"/>
  <c r="J71" i="1"/>
  <c r="F71" i="1"/>
  <c r="V70" i="1"/>
  <c r="R70" i="1"/>
  <c r="W70" i="1" s="1"/>
  <c r="N70" i="1"/>
  <c r="J70" i="1"/>
  <c r="F70" i="1"/>
  <c r="V69" i="1"/>
  <c r="R69" i="1"/>
  <c r="W69" i="1"/>
  <c r="N69" i="1"/>
  <c r="J69" i="1"/>
  <c r="F69" i="1"/>
  <c r="V68" i="1"/>
  <c r="R68" i="1"/>
  <c r="W68" i="1"/>
  <c r="N68" i="1"/>
  <c r="J68" i="1"/>
  <c r="F68" i="1"/>
  <c r="V67" i="1"/>
  <c r="R67" i="1"/>
  <c r="W67" i="1" s="1"/>
  <c r="N67" i="1"/>
  <c r="J67" i="1"/>
  <c r="F67" i="1"/>
  <c r="V66" i="1"/>
  <c r="R66" i="1"/>
  <c r="W66" i="1"/>
  <c r="N66" i="1"/>
  <c r="J66" i="1"/>
  <c r="F66" i="1"/>
  <c r="V65" i="1"/>
  <c r="R65" i="1"/>
  <c r="W65" i="1"/>
  <c r="N65" i="1"/>
  <c r="J65" i="1"/>
  <c r="F65" i="1"/>
  <c r="V64" i="1"/>
  <c r="R64" i="1"/>
  <c r="W64" i="1"/>
  <c r="N64" i="1"/>
  <c r="J64" i="1"/>
  <c r="F64" i="1"/>
  <c r="W62" i="1"/>
  <c r="V63" i="1"/>
  <c r="R63" i="1"/>
  <c r="N63" i="1"/>
  <c r="J63" i="1"/>
  <c r="F63" i="1"/>
  <c r="V62" i="1"/>
  <c r="R62" i="1"/>
  <c r="N62" i="1"/>
  <c r="V61" i="1"/>
  <c r="R61" i="1"/>
  <c r="W61" i="1" s="1"/>
  <c r="N61" i="1"/>
  <c r="J61" i="1"/>
  <c r="F61" i="1"/>
  <c r="V60" i="1"/>
  <c r="R60" i="1"/>
  <c r="W60" i="1"/>
  <c r="N60" i="1"/>
  <c r="J60" i="1"/>
  <c r="F60" i="1"/>
  <c r="V59" i="1"/>
  <c r="R59" i="1"/>
  <c r="W59" i="1" s="1"/>
  <c r="N59" i="1"/>
  <c r="J59" i="1"/>
  <c r="F59" i="1"/>
  <c r="V58" i="1"/>
  <c r="R58" i="1"/>
  <c r="W58" i="1"/>
  <c r="N58" i="1"/>
  <c r="J58" i="1"/>
  <c r="F58" i="1"/>
  <c r="V57" i="1"/>
  <c r="R57" i="1"/>
  <c r="W57" i="1"/>
  <c r="N57" i="1"/>
  <c r="J57" i="1"/>
  <c r="F57" i="1"/>
  <c r="V56" i="1"/>
  <c r="R56" i="1"/>
  <c r="W56" i="1"/>
  <c r="N56" i="1"/>
  <c r="J56" i="1"/>
  <c r="F56" i="1"/>
  <c r="V55" i="1"/>
  <c r="R55" i="1"/>
  <c r="W55" i="1"/>
  <c r="N55" i="1"/>
  <c r="J55" i="1"/>
  <c r="F55" i="1"/>
  <c r="I3" i="2"/>
  <c r="G3" i="2"/>
  <c r="J3" i="2" s="1"/>
  <c r="I2" i="2"/>
  <c r="G2" i="2"/>
  <c r="J2" i="2" s="1"/>
  <c r="V54" i="1"/>
  <c r="R54" i="1"/>
  <c r="N54" i="1"/>
  <c r="J54" i="1"/>
  <c r="W54" i="1" s="1"/>
  <c r="F54" i="1"/>
  <c r="W53" i="1"/>
  <c r="V53" i="1"/>
  <c r="R53" i="1"/>
  <c r="N53" i="1"/>
  <c r="J53" i="1"/>
  <c r="F53" i="1"/>
  <c r="W52" i="1"/>
  <c r="V52" i="1"/>
  <c r="R52" i="1"/>
  <c r="N52" i="1"/>
  <c r="J52" i="1"/>
  <c r="F52" i="1"/>
  <c r="W51" i="1"/>
  <c r="V51" i="1"/>
  <c r="R51" i="1"/>
  <c r="N51" i="1"/>
  <c r="J51" i="1"/>
  <c r="F51" i="1"/>
  <c r="W50" i="1"/>
  <c r="V50" i="1"/>
  <c r="R50" i="1"/>
  <c r="N50" i="1"/>
  <c r="J50" i="1"/>
  <c r="F50" i="1"/>
  <c r="W49" i="1"/>
  <c r="V49" i="1"/>
  <c r="R49" i="1"/>
  <c r="N49" i="1"/>
  <c r="J49" i="1"/>
  <c r="F49" i="1"/>
  <c r="W48" i="1"/>
  <c r="V48" i="1"/>
  <c r="R48" i="1"/>
  <c r="N48" i="1"/>
  <c r="J48" i="1"/>
  <c r="F48" i="1"/>
  <c r="W47" i="1"/>
  <c r="V47" i="1"/>
  <c r="R47" i="1"/>
  <c r="N47" i="1"/>
  <c r="J47" i="1"/>
  <c r="F47" i="1"/>
  <c r="V46" i="1"/>
  <c r="R46" i="1"/>
  <c r="N46" i="1"/>
  <c r="J46" i="1"/>
  <c r="W46" i="1" s="1"/>
  <c r="F46" i="1"/>
  <c r="W45" i="1"/>
  <c r="V45" i="1"/>
  <c r="R45" i="1"/>
  <c r="N45" i="1"/>
  <c r="J45" i="1"/>
  <c r="F45" i="1"/>
  <c r="W44" i="1"/>
  <c r="V44" i="1"/>
  <c r="R44" i="1"/>
  <c r="N44" i="1"/>
  <c r="J44" i="1"/>
  <c r="F44" i="1"/>
  <c r="W43" i="1"/>
  <c r="V43" i="1"/>
  <c r="R43" i="1"/>
  <c r="N43" i="1"/>
  <c r="J43" i="1"/>
  <c r="F43" i="1"/>
  <c r="W42" i="1"/>
  <c r="V42" i="1"/>
  <c r="R42" i="1"/>
  <c r="N42" i="1"/>
  <c r="J42" i="1"/>
  <c r="F42" i="1"/>
  <c r="W41" i="1"/>
  <c r="V41" i="1"/>
  <c r="R41" i="1"/>
  <c r="N41" i="1"/>
  <c r="J41" i="1"/>
  <c r="F41" i="1"/>
  <c r="W40" i="1"/>
  <c r="V40" i="1"/>
  <c r="R40" i="1"/>
  <c r="N40" i="1"/>
  <c r="J40" i="1"/>
  <c r="F40" i="1"/>
  <c r="W39" i="1"/>
  <c r="V39" i="1"/>
  <c r="R39" i="1"/>
  <c r="N39" i="1"/>
  <c r="J39" i="1"/>
  <c r="F39" i="1"/>
  <c r="W38" i="1"/>
  <c r="V38" i="1"/>
  <c r="R38" i="1"/>
  <c r="N38" i="1"/>
  <c r="J38" i="1"/>
  <c r="F38" i="1"/>
  <c r="W37" i="1"/>
  <c r="V37" i="1"/>
  <c r="R37" i="1"/>
  <c r="N37" i="1"/>
  <c r="J37" i="1"/>
  <c r="F37" i="1"/>
  <c r="W36" i="1"/>
  <c r="V36" i="1"/>
  <c r="R36" i="1"/>
  <c r="N36" i="1"/>
  <c r="J36" i="1"/>
  <c r="F36" i="1"/>
  <c r="W35" i="1"/>
  <c r="V35" i="1"/>
  <c r="R35" i="1"/>
  <c r="N35" i="1"/>
  <c r="J35" i="1"/>
  <c r="F35" i="1"/>
  <c r="W34" i="1"/>
  <c r="V34" i="1"/>
  <c r="R34" i="1"/>
  <c r="N34" i="1"/>
  <c r="J34" i="1"/>
  <c r="F34" i="1"/>
  <c r="W33" i="1"/>
  <c r="V33" i="1"/>
  <c r="R33" i="1"/>
  <c r="N33" i="1"/>
  <c r="J33" i="1"/>
  <c r="F33" i="1"/>
  <c r="W32" i="1"/>
  <c r="V32" i="1"/>
  <c r="R32" i="1"/>
  <c r="N32" i="1"/>
  <c r="J32" i="1"/>
  <c r="F32" i="1"/>
  <c r="W31" i="1"/>
  <c r="V31" i="1"/>
  <c r="R31" i="1"/>
  <c r="N31" i="1"/>
  <c r="J31" i="1"/>
  <c r="F31" i="1"/>
  <c r="W30" i="1"/>
  <c r="V30" i="1"/>
  <c r="R30" i="1"/>
  <c r="N30" i="1"/>
  <c r="J30" i="1"/>
  <c r="F30" i="1"/>
  <c r="W29" i="1"/>
  <c r="V29" i="1"/>
  <c r="R29" i="1"/>
  <c r="N29" i="1"/>
  <c r="J29" i="1"/>
  <c r="F29" i="1"/>
  <c r="W28" i="1"/>
  <c r="V28" i="1"/>
  <c r="R28" i="1"/>
  <c r="N28" i="1"/>
  <c r="J28" i="1"/>
  <c r="F28" i="1"/>
  <c r="W27" i="1"/>
  <c r="V27" i="1"/>
  <c r="R27" i="1"/>
  <c r="N27" i="1"/>
  <c r="J27" i="1"/>
  <c r="F27" i="1"/>
  <c r="W26" i="1"/>
  <c r="V26" i="1"/>
  <c r="R26" i="1"/>
  <c r="N26" i="1"/>
  <c r="J26" i="1"/>
  <c r="F26" i="1"/>
  <c r="W25" i="1"/>
  <c r="V25" i="1"/>
  <c r="R25" i="1"/>
  <c r="N25" i="1"/>
  <c r="J25" i="1"/>
  <c r="F25" i="1"/>
  <c r="W24" i="1"/>
  <c r="V24" i="1"/>
  <c r="R24" i="1"/>
  <c r="N24" i="1"/>
  <c r="J24" i="1"/>
  <c r="F24" i="1"/>
  <c r="W23" i="1"/>
  <c r="V23" i="1"/>
  <c r="R23" i="1"/>
  <c r="N23" i="1"/>
  <c r="J23" i="1"/>
  <c r="F23" i="1"/>
  <c r="W22" i="1"/>
  <c r="V22" i="1"/>
  <c r="R22" i="1"/>
  <c r="N22" i="1"/>
  <c r="J22" i="1"/>
  <c r="F22" i="1"/>
  <c r="W21" i="1"/>
  <c r="V21" i="1"/>
  <c r="R21" i="1"/>
  <c r="N21" i="1"/>
  <c r="J21" i="1"/>
  <c r="F21" i="1"/>
  <c r="W20" i="1"/>
  <c r="V20" i="1"/>
  <c r="R20" i="1"/>
  <c r="N20" i="1"/>
  <c r="J20" i="1"/>
  <c r="F20" i="1"/>
  <c r="W19" i="1"/>
  <c r="V19" i="1"/>
  <c r="R19" i="1"/>
  <c r="N19" i="1"/>
  <c r="J19" i="1"/>
  <c r="F19" i="1"/>
  <c r="W18" i="1"/>
  <c r="V18" i="1"/>
  <c r="R18" i="1"/>
  <c r="N18" i="1"/>
  <c r="J18" i="1"/>
  <c r="F18" i="1"/>
  <c r="W17" i="1"/>
  <c r="V17" i="1"/>
  <c r="R17" i="1"/>
  <c r="N17" i="1"/>
  <c r="J17" i="1"/>
  <c r="F17" i="1"/>
  <c r="W16" i="1"/>
  <c r="V16" i="1"/>
  <c r="R16" i="1"/>
  <c r="N16" i="1"/>
  <c r="J16" i="1"/>
  <c r="F16" i="1"/>
  <c r="W15" i="1"/>
  <c r="V15" i="1"/>
  <c r="R15" i="1"/>
  <c r="N15" i="1"/>
  <c r="J15" i="1"/>
  <c r="F15" i="1"/>
  <c r="W14" i="1"/>
  <c r="V14" i="1"/>
  <c r="R14" i="1"/>
  <c r="N14" i="1"/>
  <c r="J14" i="1"/>
  <c r="F14" i="1"/>
  <c r="W13" i="1"/>
  <c r="V13" i="1"/>
  <c r="R13" i="1"/>
  <c r="N13" i="1"/>
  <c r="J13" i="1"/>
  <c r="F13" i="1"/>
  <c r="W12" i="1"/>
  <c r="V12" i="1"/>
  <c r="R12" i="1"/>
  <c r="N12" i="1"/>
  <c r="J12" i="1"/>
  <c r="F12" i="1"/>
  <c r="W11" i="1"/>
  <c r="V11" i="1"/>
  <c r="R11" i="1"/>
  <c r="N11" i="1"/>
  <c r="J11" i="1"/>
  <c r="F11" i="1"/>
  <c r="W10" i="1"/>
  <c r="V10" i="1"/>
  <c r="R10" i="1"/>
  <c r="N10" i="1"/>
  <c r="J10" i="1"/>
  <c r="F10" i="1"/>
  <c r="W9" i="1"/>
  <c r="V9" i="1"/>
  <c r="R9" i="1"/>
  <c r="N9" i="1"/>
  <c r="J9" i="1"/>
  <c r="F9" i="1"/>
  <c r="W8" i="1"/>
  <c r="V8" i="1"/>
  <c r="R8" i="1"/>
  <c r="N8" i="1"/>
  <c r="J8" i="1"/>
  <c r="F8" i="1"/>
  <c r="W7" i="1"/>
  <c r="V7" i="1"/>
  <c r="R7" i="1"/>
  <c r="N7" i="1"/>
  <c r="J7" i="1"/>
  <c r="F7" i="1"/>
  <c r="W6" i="1"/>
  <c r="V6" i="1"/>
  <c r="R6" i="1"/>
  <c r="N6" i="1"/>
  <c r="J6" i="1"/>
  <c r="F6" i="1"/>
  <c r="W5" i="1"/>
  <c r="V5" i="1"/>
  <c r="R5" i="1"/>
  <c r="N5" i="1"/>
  <c r="J5" i="1"/>
  <c r="F5" i="1"/>
  <c r="W4" i="1"/>
  <c r="V4" i="1"/>
  <c r="R4" i="1"/>
  <c r="N4" i="1"/>
  <c r="J4" i="1"/>
  <c r="F4" i="1"/>
  <c r="W3" i="1"/>
  <c r="V3" i="1"/>
  <c r="R3" i="1"/>
  <c r="N3" i="1"/>
  <c r="J3" i="1"/>
  <c r="F3" i="1"/>
  <c r="W63" i="1" l="1"/>
</calcChain>
</file>

<file path=xl/sharedStrings.xml><?xml version="1.0" encoding="utf-8"?>
<sst xmlns="http://schemas.openxmlformats.org/spreadsheetml/2006/main" count="106" uniqueCount="56">
  <si>
    <t>Hand Release Merkins</t>
  </si>
  <si>
    <t>Date</t>
  </si>
  <si>
    <t>F3 Name</t>
  </si>
  <si>
    <t>Round 1</t>
  </si>
  <si>
    <t>Round 2</t>
  </si>
  <si>
    <t>Round 3</t>
  </si>
  <si>
    <t>HRM Total</t>
  </si>
  <si>
    <t>TS Total</t>
  </si>
  <si>
    <t>BBSU Total</t>
  </si>
  <si>
    <t>OHP Total</t>
  </si>
  <si>
    <t>200s Total</t>
  </si>
  <si>
    <t>Rep Total</t>
  </si>
  <si>
    <t>3rd Degree</t>
  </si>
  <si>
    <t>Big Spoon</t>
  </si>
  <si>
    <t>Bowser</t>
  </si>
  <si>
    <t>Cache</t>
  </si>
  <si>
    <t>Care Bear</t>
  </si>
  <si>
    <t>Duct Tape</t>
  </si>
  <si>
    <t>Goal Post</t>
  </si>
  <si>
    <t>Pop Rox</t>
  </si>
  <si>
    <t>Route 66</t>
  </si>
  <si>
    <t>Slammer</t>
  </si>
  <si>
    <t>Splinter</t>
  </si>
  <si>
    <t>Tatanka</t>
  </si>
  <si>
    <t>Tigger</t>
  </si>
  <si>
    <t>Tri</t>
  </si>
  <si>
    <t>Trike</t>
  </si>
  <si>
    <t>Triple H</t>
  </si>
  <si>
    <t>Visa</t>
  </si>
  <si>
    <t>Zelda</t>
  </si>
  <si>
    <t>Chain Link</t>
  </si>
  <si>
    <t>Dorothy</t>
  </si>
  <si>
    <t>Fret</t>
  </si>
  <si>
    <t>Riff Raff</t>
  </si>
  <si>
    <t>Snip Snap</t>
  </si>
  <si>
    <t>Timber</t>
  </si>
  <si>
    <t>Snakebite</t>
  </si>
  <si>
    <t>Kick Flip</t>
  </si>
  <si>
    <t>Miyagi</t>
  </si>
  <si>
    <t>Keys</t>
  </si>
  <si>
    <t>Bunyan</t>
  </si>
  <si>
    <t>Teca</t>
  </si>
  <si>
    <r>
      <rPr>
        <b/>
        <sz val="10"/>
        <color theme="1"/>
        <rFont val="Arial"/>
      </rPr>
      <t>Merkins</t>
    </r>
    <r>
      <rPr>
        <sz val="10"/>
        <color theme="1"/>
        <rFont val="Arial"/>
      </rPr>
      <t xml:space="preserve"> - chest to fist</t>
    </r>
  </si>
  <si>
    <r>
      <rPr>
        <b/>
        <sz val="10"/>
        <color theme="1"/>
        <rFont val="Arial"/>
      </rPr>
      <t>Freddy Mercury</t>
    </r>
    <r>
      <rPr>
        <sz val="10"/>
        <color theme="1"/>
        <rFont val="Arial"/>
      </rPr>
      <t xml:space="preserve"> - elbow to knee contact (4 count)</t>
    </r>
  </si>
  <si>
    <r>
      <rPr>
        <b/>
        <sz val="10"/>
        <color theme="1"/>
        <rFont val="Arial"/>
      </rPr>
      <t xml:space="preserve">Gobble Squat </t>
    </r>
    <r>
      <rPr>
        <sz val="10"/>
        <color theme="1"/>
        <rFont val="Arial"/>
      </rPr>
      <t>-elbows to knee</t>
    </r>
  </si>
  <si>
    <r>
      <rPr>
        <b/>
        <sz val="10"/>
        <color theme="1"/>
        <rFont val="Arial"/>
      </rPr>
      <t>Burpees</t>
    </r>
    <r>
      <rPr>
        <sz val="10"/>
        <color theme="1"/>
        <rFont val="Arial"/>
      </rPr>
      <t xml:space="preserve"> - overhead clap</t>
    </r>
  </si>
  <si>
    <r>
      <rPr>
        <b/>
        <sz val="10"/>
        <color theme="1"/>
        <rFont val="Arial"/>
      </rPr>
      <t>Overhead Press</t>
    </r>
    <r>
      <rPr>
        <sz val="10"/>
        <color theme="1"/>
        <rFont val="Arial"/>
      </rPr>
      <t xml:space="preserve"> -full extension </t>
    </r>
  </si>
  <si>
    <t>RepTotal</t>
  </si>
  <si>
    <r>
      <rPr>
        <b/>
        <sz val="10"/>
        <color theme="1"/>
        <rFont val="Arial"/>
      </rPr>
      <t>400m run</t>
    </r>
    <r>
      <rPr>
        <sz val="10"/>
        <color theme="1"/>
        <rFont val="Arial"/>
      </rPr>
      <t xml:space="preserve"> (from flag to bottom of ramp and back)</t>
    </r>
  </si>
  <si>
    <t>Run in Seconds</t>
  </si>
  <si>
    <t>MBI Rep Count minus Run Time</t>
  </si>
  <si>
    <t>Toaster Sitters</t>
  </si>
  <si>
    <t>Big Boy Sit-ups</t>
  </si>
  <si>
    <t>Overhead Press</t>
  </si>
  <si>
    <t>200 m Run</t>
  </si>
  <si>
    <t>Pacecar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</si>
</sst>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m]:ss.00"/>
    <numFmt numFmtId="165" formatCode="m/d/yy"/>
  </numFmts>
  <fonts count="8">
    <font>
      <sz val="10"/>
      <color rgb="FF000000"/>
      <name val="Arial"/>
      <scheme val="minor"/>
    </font>
    <font>
      <sz val="10"/>
      <color rgb="FF1F1F1F"/>
      <name val="&quot;Google Sans Text&quot;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4" fillId="0" borderId="0" xfId="0" applyNumberFormat="1" applyFont="1"/>
    <xf numFmtId="164" fontId="3" fillId="0" borderId="0" xfId="0" applyNumberFormat="1" applyFont="1"/>
    <xf numFmtId="0" fontId="3" fillId="0" borderId="0" xfId="0" applyFont="1"/>
    <xf numFmtId="46" fontId="3" fillId="0" borderId="0" xfId="0" applyNumberFormat="1" applyFont="1"/>
    <xf numFmtId="0" fontId="4" fillId="0" borderId="0" xfId="0" applyFont="1"/>
    <xf numFmtId="20" fontId="3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14" fontId="4" fillId="0" borderId="0" xfId="0" applyNumberFormat="1" applyFo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165" fontId="4" fillId="0" borderId="0" xfId="0" applyNumberFormat="1" applyFont="1"/>
    <xf numFmtId="46" fontId="4" fillId="0" borderId="0" xfId="0" applyNumberFormat="1" applyFont="1"/>
    <xf numFmtId="14" fontId="0" fillId="0" borderId="0" xfId="0" applyNumberFormat="1"/>
    <xf numFmtId="0" fontId="3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957"/>
  <sheetViews>
    <sheetView tabSelected="1" topLeftCell="B1" workbookViewId="0">
      <pane ySplit="2" topLeftCell="A47" activePane="bottomLeft" state="frozen"/>
      <selection pane="bottomLeft" activeCell="V71" sqref="V71"/>
    </sheetView>
  </sheetViews>
  <sheetFormatPr defaultColWidth="12.5703125" defaultRowHeight="15.75" customHeight="1"/>
  <cols>
    <col min="1" max="1" width="26" style="23" bestFit="1" customWidth="1"/>
  </cols>
  <sheetData>
    <row r="1" spans="1:43" ht="12.75">
      <c r="A1" s="1"/>
      <c r="B1" s="2"/>
      <c r="C1" s="2" t="s">
        <v>0</v>
      </c>
      <c r="D1" s="2"/>
      <c r="E1" s="2"/>
      <c r="F1" s="2"/>
      <c r="G1" s="2" t="s">
        <v>51</v>
      </c>
      <c r="H1" s="2"/>
      <c r="I1" s="2"/>
      <c r="J1" s="2"/>
      <c r="K1" s="2" t="s">
        <v>52</v>
      </c>
      <c r="L1" s="2"/>
      <c r="M1" s="2"/>
      <c r="N1" s="2"/>
      <c r="O1" s="2" t="s">
        <v>53</v>
      </c>
      <c r="P1" s="2"/>
      <c r="Q1" s="2"/>
      <c r="R1" s="2"/>
      <c r="S1" s="2" t="s">
        <v>54</v>
      </c>
      <c r="T1" s="2"/>
      <c r="U1" s="2"/>
      <c r="V1" s="2"/>
      <c r="W1" s="2"/>
    </row>
    <row r="2" spans="1:43" ht="12.7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3</v>
      </c>
      <c r="H2" s="2" t="s">
        <v>4</v>
      </c>
      <c r="I2" s="2" t="s">
        <v>5</v>
      </c>
      <c r="J2" s="2" t="s">
        <v>7</v>
      </c>
      <c r="K2" s="2" t="s">
        <v>3</v>
      </c>
      <c r="L2" s="2" t="s">
        <v>4</v>
      </c>
      <c r="M2" s="2" t="s">
        <v>5</v>
      </c>
      <c r="N2" s="2" t="s">
        <v>8</v>
      </c>
      <c r="O2" s="2" t="s">
        <v>3</v>
      </c>
      <c r="P2" s="2" t="s">
        <v>4</v>
      </c>
      <c r="Q2" s="2" t="s">
        <v>5</v>
      </c>
      <c r="R2" s="2" t="s">
        <v>9</v>
      </c>
      <c r="S2" s="2" t="s">
        <v>3</v>
      </c>
      <c r="T2" s="2" t="s">
        <v>4</v>
      </c>
      <c r="U2" s="2" t="s">
        <v>5</v>
      </c>
      <c r="V2" s="2" t="s">
        <v>10</v>
      </c>
      <c r="W2" s="2" t="s">
        <v>11</v>
      </c>
    </row>
    <row r="3" spans="1:43" ht="15.75" customHeight="1">
      <c r="A3" s="1">
        <v>45885</v>
      </c>
      <c r="B3" s="3" t="s">
        <v>12</v>
      </c>
      <c r="C3" s="4">
        <v>31</v>
      </c>
      <c r="D3" s="4">
        <v>23</v>
      </c>
      <c r="E3" s="5">
        <v>27</v>
      </c>
      <c r="F3" s="6">
        <f t="shared" ref="F3:F61" si="0">SUM(C3:E3)</f>
        <v>81</v>
      </c>
      <c r="G3" s="4">
        <v>40</v>
      </c>
      <c r="H3" s="4">
        <v>34</v>
      </c>
      <c r="I3" s="4">
        <v>43</v>
      </c>
      <c r="J3" s="6">
        <f t="shared" ref="J3:J61" si="1">SUM(G3,H3,I3)</f>
        <v>117</v>
      </c>
      <c r="K3" s="4">
        <v>20</v>
      </c>
      <c r="L3" s="4">
        <v>18</v>
      </c>
      <c r="M3" s="4">
        <v>21</v>
      </c>
      <c r="N3" s="6">
        <f t="shared" ref="N3:N62" si="2">SUM(K3,L3,M3)</f>
        <v>59</v>
      </c>
      <c r="O3" s="4">
        <v>23</v>
      </c>
      <c r="P3" s="4">
        <v>20</v>
      </c>
      <c r="Q3" s="4">
        <v>18</v>
      </c>
      <c r="R3" s="6">
        <f t="shared" ref="R3:R62" si="3">SUM(O3,P3,Q3)</f>
        <v>61</v>
      </c>
      <c r="S3" s="7">
        <v>1</v>
      </c>
      <c r="T3" s="7">
        <v>1</v>
      </c>
      <c r="U3" s="8">
        <v>1</v>
      </c>
      <c r="V3" s="9">
        <f t="shared" ref="V3:V62" si="4">SUM(S3,T3,U3)</f>
        <v>3</v>
      </c>
      <c r="W3" s="6">
        <f t="shared" ref="W3:W62" si="5">SUM(F3,J3,N3,R3)</f>
        <v>318</v>
      </c>
      <c r="X3" s="10"/>
      <c r="Y3" s="10"/>
      <c r="Z3" s="10"/>
      <c r="AA3" s="10"/>
      <c r="AB3" s="10"/>
      <c r="AC3" s="11"/>
      <c r="AD3" s="11"/>
      <c r="AE3" s="11"/>
      <c r="AF3" s="11"/>
      <c r="AG3" s="11"/>
      <c r="AH3" s="12"/>
      <c r="AI3" s="11"/>
      <c r="AJ3" s="11"/>
      <c r="AK3" s="11"/>
      <c r="AL3" s="11"/>
      <c r="AM3" s="11"/>
      <c r="AN3" s="11"/>
      <c r="AO3" s="11"/>
      <c r="AP3" s="11"/>
      <c r="AQ3" s="11"/>
    </row>
    <row r="4" spans="1:43" ht="15.75" customHeight="1">
      <c r="A4" s="1">
        <v>45885</v>
      </c>
      <c r="B4" s="3" t="s">
        <v>13</v>
      </c>
      <c r="C4" s="4">
        <v>31</v>
      </c>
      <c r="D4" s="4">
        <v>20</v>
      </c>
      <c r="E4" s="5">
        <v>20</v>
      </c>
      <c r="F4" s="6">
        <f t="shared" si="0"/>
        <v>71</v>
      </c>
      <c r="G4" s="4">
        <v>40</v>
      </c>
      <c r="H4" s="4">
        <v>35</v>
      </c>
      <c r="I4" s="4">
        <v>34</v>
      </c>
      <c r="J4" s="6">
        <f t="shared" si="1"/>
        <v>109</v>
      </c>
      <c r="K4" s="4">
        <v>24</v>
      </c>
      <c r="L4" s="4">
        <v>23</v>
      </c>
      <c r="M4" s="4">
        <v>20</v>
      </c>
      <c r="N4" s="6">
        <f t="shared" si="2"/>
        <v>67</v>
      </c>
      <c r="O4" s="4">
        <v>26</v>
      </c>
      <c r="P4" s="4">
        <v>21</v>
      </c>
      <c r="Q4" s="4">
        <v>22</v>
      </c>
      <c r="R4" s="6">
        <f t="shared" si="3"/>
        <v>69</v>
      </c>
      <c r="S4" s="4">
        <v>1.25</v>
      </c>
      <c r="T4" s="4">
        <v>1.25</v>
      </c>
      <c r="U4" s="8">
        <v>1</v>
      </c>
      <c r="V4" s="13">
        <f t="shared" si="4"/>
        <v>3.5</v>
      </c>
      <c r="W4" s="6">
        <f t="shared" si="5"/>
        <v>316</v>
      </c>
      <c r="X4" s="10"/>
      <c r="Y4" s="10"/>
      <c r="Z4" s="10"/>
      <c r="AA4" s="10"/>
      <c r="AB4" s="10"/>
      <c r="AC4" s="11"/>
      <c r="AD4" s="11"/>
      <c r="AE4" s="11"/>
      <c r="AF4" s="11"/>
      <c r="AG4" s="11"/>
      <c r="AH4" s="12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15.75" customHeight="1">
      <c r="A5" s="1">
        <v>45885</v>
      </c>
      <c r="B5" s="3" t="s">
        <v>14</v>
      </c>
      <c r="C5" s="4">
        <v>30</v>
      </c>
      <c r="D5" s="4">
        <v>27</v>
      </c>
      <c r="E5" s="5">
        <v>30</v>
      </c>
      <c r="F5" s="6">
        <f t="shared" si="0"/>
        <v>87</v>
      </c>
      <c r="G5" s="4">
        <v>40</v>
      </c>
      <c r="H5" s="4">
        <v>50</v>
      </c>
      <c r="I5" s="4">
        <v>22</v>
      </c>
      <c r="J5" s="6">
        <f t="shared" si="1"/>
        <v>112</v>
      </c>
      <c r="K5" s="4">
        <v>24</v>
      </c>
      <c r="L5" s="4">
        <v>26</v>
      </c>
      <c r="M5" s="4">
        <v>22</v>
      </c>
      <c r="N5" s="6">
        <f t="shared" si="2"/>
        <v>72</v>
      </c>
      <c r="O5" s="4">
        <v>42</v>
      </c>
      <c r="P5" s="4">
        <v>30</v>
      </c>
      <c r="Q5" s="4">
        <v>50</v>
      </c>
      <c r="R5" s="6">
        <f t="shared" si="3"/>
        <v>122</v>
      </c>
      <c r="S5" s="7">
        <v>1</v>
      </c>
      <c r="T5" s="7">
        <v>1</v>
      </c>
      <c r="U5" s="8">
        <v>1</v>
      </c>
      <c r="V5" s="9">
        <f t="shared" si="4"/>
        <v>3</v>
      </c>
      <c r="W5" s="6">
        <f t="shared" si="5"/>
        <v>393</v>
      </c>
      <c r="X5" s="10"/>
      <c r="Y5" s="10"/>
      <c r="Z5" s="10"/>
      <c r="AA5" s="10"/>
      <c r="AB5" s="10"/>
      <c r="AC5" s="11"/>
      <c r="AD5" s="11"/>
      <c r="AE5" s="11"/>
      <c r="AF5" s="11"/>
      <c r="AG5" s="11"/>
      <c r="AH5" s="12"/>
      <c r="AI5" s="11"/>
      <c r="AJ5" s="11"/>
      <c r="AK5" s="11"/>
      <c r="AL5" s="11"/>
      <c r="AM5" s="11"/>
      <c r="AN5" s="11"/>
      <c r="AO5" s="11"/>
      <c r="AP5" s="11"/>
      <c r="AQ5" s="11"/>
    </row>
    <row r="6" spans="1:43" ht="15.75" customHeight="1">
      <c r="A6" s="1">
        <v>45885</v>
      </c>
      <c r="B6" s="3" t="s">
        <v>15</v>
      </c>
      <c r="C6" s="4">
        <v>30</v>
      </c>
      <c r="D6" s="4">
        <v>25</v>
      </c>
      <c r="E6" s="5">
        <v>25</v>
      </c>
      <c r="F6" s="6">
        <f t="shared" si="0"/>
        <v>80</v>
      </c>
      <c r="G6" s="4">
        <v>35</v>
      </c>
      <c r="H6" s="4">
        <v>30</v>
      </c>
      <c r="I6" s="4">
        <v>25</v>
      </c>
      <c r="J6" s="6">
        <f t="shared" si="1"/>
        <v>90</v>
      </c>
      <c r="K6" s="4">
        <v>25</v>
      </c>
      <c r="L6" s="4">
        <v>20</v>
      </c>
      <c r="M6" s="4">
        <v>20</v>
      </c>
      <c r="N6" s="6">
        <f t="shared" si="2"/>
        <v>65</v>
      </c>
      <c r="O6" s="4">
        <v>27</v>
      </c>
      <c r="P6" s="4">
        <v>20</v>
      </c>
      <c r="Q6" s="4">
        <v>18</v>
      </c>
      <c r="R6" s="6">
        <f t="shared" si="3"/>
        <v>65</v>
      </c>
      <c r="S6" s="4">
        <v>0.75</v>
      </c>
      <c r="T6" s="4">
        <v>0.75</v>
      </c>
      <c r="U6" s="5">
        <v>0.75</v>
      </c>
      <c r="V6" s="13">
        <f t="shared" si="4"/>
        <v>2.25</v>
      </c>
      <c r="W6" s="6">
        <f t="shared" si="5"/>
        <v>300</v>
      </c>
      <c r="X6" s="10"/>
      <c r="Y6" s="10"/>
      <c r="Z6" s="10"/>
      <c r="AA6" s="10"/>
      <c r="AB6" s="10"/>
      <c r="AC6" s="11"/>
      <c r="AD6" s="11"/>
      <c r="AE6" s="11"/>
      <c r="AF6" s="11"/>
      <c r="AG6" s="11"/>
      <c r="AH6" s="12"/>
      <c r="AI6" s="11"/>
      <c r="AJ6" s="11"/>
      <c r="AK6" s="11"/>
      <c r="AL6" s="11"/>
      <c r="AM6" s="11"/>
      <c r="AN6" s="11"/>
      <c r="AO6" s="11"/>
      <c r="AP6" s="11"/>
      <c r="AQ6" s="11"/>
    </row>
    <row r="7" spans="1:43" ht="15.75" customHeight="1">
      <c r="A7" s="1">
        <v>45885</v>
      </c>
      <c r="B7" s="3" t="s">
        <v>16</v>
      </c>
      <c r="C7" s="4">
        <v>36</v>
      </c>
      <c r="D7" s="4">
        <v>26</v>
      </c>
      <c r="E7" s="5">
        <v>16</v>
      </c>
      <c r="F7" s="6">
        <f t="shared" si="0"/>
        <v>78</v>
      </c>
      <c r="G7" s="4">
        <v>48</v>
      </c>
      <c r="H7" s="4">
        <v>48</v>
      </c>
      <c r="I7" s="4">
        <v>50</v>
      </c>
      <c r="J7" s="6">
        <f t="shared" si="1"/>
        <v>146</v>
      </c>
      <c r="K7" s="4">
        <v>25</v>
      </c>
      <c r="L7" s="4">
        <v>27</v>
      </c>
      <c r="M7" s="4">
        <v>25</v>
      </c>
      <c r="N7" s="6">
        <f t="shared" si="2"/>
        <v>77</v>
      </c>
      <c r="O7" s="4">
        <v>31</v>
      </c>
      <c r="P7" s="4">
        <v>22</v>
      </c>
      <c r="Q7" s="4">
        <v>18</v>
      </c>
      <c r="R7" s="6">
        <f t="shared" si="3"/>
        <v>71</v>
      </c>
      <c r="S7" s="7">
        <v>1</v>
      </c>
      <c r="T7" s="4">
        <v>1.25</v>
      </c>
      <c r="U7" s="5">
        <v>1.25</v>
      </c>
      <c r="V7" s="9">
        <f t="shared" si="4"/>
        <v>3.5</v>
      </c>
      <c r="W7" s="6">
        <f t="shared" si="5"/>
        <v>372</v>
      </c>
      <c r="X7" s="14"/>
      <c r="Y7" s="14"/>
      <c r="Z7" s="14"/>
      <c r="AA7" s="14"/>
      <c r="AB7" s="14"/>
      <c r="AC7" s="11"/>
      <c r="AD7" s="11"/>
      <c r="AE7" s="11"/>
      <c r="AF7" s="11"/>
      <c r="AG7" s="11"/>
      <c r="AH7" s="12"/>
      <c r="AI7" s="11"/>
      <c r="AJ7" s="11"/>
      <c r="AK7" s="11"/>
      <c r="AL7" s="11"/>
      <c r="AM7" s="11"/>
      <c r="AN7" s="11"/>
      <c r="AO7" s="11"/>
      <c r="AP7" s="11"/>
      <c r="AQ7" s="11"/>
    </row>
    <row r="8" spans="1:43" ht="15.75" customHeight="1">
      <c r="A8" s="1">
        <v>45885</v>
      </c>
      <c r="B8" s="3" t="s">
        <v>17</v>
      </c>
      <c r="C8" s="4">
        <v>26</v>
      </c>
      <c r="D8" s="4">
        <v>27</v>
      </c>
      <c r="E8" s="5">
        <v>30</v>
      </c>
      <c r="F8" s="6">
        <f t="shared" si="0"/>
        <v>83</v>
      </c>
      <c r="G8" s="4">
        <v>40</v>
      </c>
      <c r="H8" s="4">
        <v>52</v>
      </c>
      <c r="I8" s="4">
        <v>59</v>
      </c>
      <c r="J8" s="6">
        <f t="shared" si="1"/>
        <v>151</v>
      </c>
      <c r="K8" s="4">
        <v>23</v>
      </c>
      <c r="L8" s="4">
        <v>25</v>
      </c>
      <c r="M8" s="4">
        <v>27</v>
      </c>
      <c r="N8" s="6">
        <f t="shared" si="2"/>
        <v>75</v>
      </c>
      <c r="O8" s="4">
        <v>40</v>
      </c>
      <c r="P8" s="4">
        <v>30</v>
      </c>
      <c r="Q8" s="4">
        <v>35</v>
      </c>
      <c r="R8" s="6">
        <f t="shared" si="3"/>
        <v>105</v>
      </c>
      <c r="S8" s="7">
        <v>1</v>
      </c>
      <c r="T8" s="7">
        <v>1</v>
      </c>
      <c r="U8" s="8">
        <v>1</v>
      </c>
      <c r="V8" s="9">
        <f t="shared" si="4"/>
        <v>3</v>
      </c>
      <c r="W8" s="6">
        <f t="shared" si="5"/>
        <v>414</v>
      </c>
      <c r="X8" s="10"/>
      <c r="Y8" s="10"/>
      <c r="Z8" s="10"/>
      <c r="AA8" s="10"/>
      <c r="AB8" s="10"/>
      <c r="AC8" s="11"/>
      <c r="AD8" s="11"/>
      <c r="AE8" s="11"/>
      <c r="AF8" s="11"/>
      <c r="AG8" s="11"/>
      <c r="AH8" s="12"/>
      <c r="AI8" s="11"/>
      <c r="AJ8" s="11"/>
      <c r="AK8" s="11"/>
      <c r="AL8" s="11"/>
      <c r="AM8" s="11"/>
      <c r="AN8" s="11"/>
      <c r="AO8" s="11"/>
      <c r="AP8" s="11"/>
      <c r="AQ8" s="11"/>
    </row>
    <row r="9" spans="1:43" ht="15.75" customHeight="1">
      <c r="A9" s="1">
        <v>45885</v>
      </c>
      <c r="B9" s="3" t="s">
        <v>18</v>
      </c>
      <c r="C9" s="4">
        <v>31</v>
      </c>
      <c r="D9" s="4">
        <v>26</v>
      </c>
      <c r="E9" s="5">
        <v>23</v>
      </c>
      <c r="F9" s="6">
        <f t="shared" si="0"/>
        <v>80</v>
      </c>
      <c r="G9" s="4">
        <v>55</v>
      </c>
      <c r="H9" s="4">
        <v>56</v>
      </c>
      <c r="I9" s="4">
        <v>55</v>
      </c>
      <c r="J9" s="6">
        <f t="shared" si="1"/>
        <v>166</v>
      </c>
      <c r="K9" s="4">
        <v>27</v>
      </c>
      <c r="L9" s="4">
        <v>27</v>
      </c>
      <c r="M9" s="4">
        <v>23</v>
      </c>
      <c r="N9" s="6">
        <f t="shared" si="2"/>
        <v>77</v>
      </c>
      <c r="O9" s="4">
        <v>40</v>
      </c>
      <c r="P9" s="4">
        <v>30</v>
      </c>
      <c r="Q9" s="4">
        <v>34</v>
      </c>
      <c r="R9" s="6">
        <f t="shared" si="3"/>
        <v>104</v>
      </c>
      <c r="S9" s="7">
        <v>1</v>
      </c>
      <c r="T9" s="4">
        <v>1.25</v>
      </c>
      <c r="U9" s="8">
        <v>1</v>
      </c>
      <c r="V9" s="9">
        <f t="shared" si="4"/>
        <v>3.25</v>
      </c>
      <c r="W9" s="6">
        <f t="shared" si="5"/>
        <v>427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2"/>
      <c r="AI9" s="11"/>
      <c r="AJ9" s="11"/>
      <c r="AK9" s="11"/>
      <c r="AL9" s="11"/>
      <c r="AM9" s="11"/>
      <c r="AN9" s="11"/>
      <c r="AO9" s="11"/>
      <c r="AP9" s="11"/>
      <c r="AQ9" s="11"/>
    </row>
    <row r="10" spans="1:43" ht="15.75" customHeight="1">
      <c r="A10" s="1">
        <v>45885</v>
      </c>
      <c r="B10" s="3" t="s">
        <v>19</v>
      </c>
      <c r="C10" s="4">
        <v>39</v>
      </c>
      <c r="D10" s="4">
        <v>33</v>
      </c>
      <c r="E10" s="5">
        <v>30</v>
      </c>
      <c r="F10" s="6">
        <f t="shared" si="0"/>
        <v>102</v>
      </c>
      <c r="G10" s="4">
        <v>49</v>
      </c>
      <c r="H10" s="4">
        <v>44</v>
      </c>
      <c r="I10" s="4">
        <v>42</v>
      </c>
      <c r="J10" s="6">
        <f t="shared" si="1"/>
        <v>135</v>
      </c>
      <c r="K10" s="4">
        <v>33</v>
      </c>
      <c r="L10" s="4">
        <v>27</v>
      </c>
      <c r="M10" s="4">
        <v>27</v>
      </c>
      <c r="N10" s="6">
        <f t="shared" si="2"/>
        <v>87</v>
      </c>
      <c r="O10" s="4">
        <v>35</v>
      </c>
      <c r="P10" s="4">
        <v>34</v>
      </c>
      <c r="Q10" s="4">
        <v>28</v>
      </c>
      <c r="R10" s="6">
        <f t="shared" si="3"/>
        <v>97</v>
      </c>
      <c r="S10" s="4">
        <v>1.25</v>
      </c>
      <c r="T10" s="7">
        <v>1</v>
      </c>
      <c r="U10" s="8">
        <v>1</v>
      </c>
      <c r="V10" s="13">
        <f t="shared" si="4"/>
        <v>3.25</v>
      </c>
      <c r="W10" s="6">
        <f t="shared" si="5"/>
        <v>421</v>
      </c>
      <c r="X10" s="10"/>
      <c r="Y10" s="10"/>
      <c r="Z10" s="10"/>
      <c r="AA10" s="10"/>
      <c r="AB10" s="10"/>
      <c r="AC10" s="11"/>
      <c r="AD10" s="11"/>
      <c r="AE10" s="11"/>
      <c r="AF10" s="11"/>
      <c r="AG10" s="11"/>
      <c r="AH10" s="12"/>
      <c r="AI10" s="11"/>
      <c r="AJ10" s="11"/>
      <c r="AK10" s="11"/>
      <c r="AL10" s="11"/>
      <c r="AM10" s="11"/>
      <c r="AN10" s="11"/>
      <c r="AO10" s="11"/>
      <c r="AP10" s="11"/>
      <c r="AQ10" s="11"/>
    </row>
    <row r="11" spans="1:43" ht="15.75" customHeight="1">
      <c r="A11" s="1">
        <v>45885</v>
      </c>
      <c r="B11" s="3" t="s">
        <v>20</v>
      </c>
      <c r="C11" s="4">
        <v>36</v>
      </c>
      <c r="D11" s="4">
        <v>30</v>
      </c>
      <c r="E11" s="5">
        <v>20</v>
      </c>
      <c r="F11" s="6">
        <f t="shared" si="0"/>
        <v>86</v>
      </c>
      <c r="G11" s="4">
        <v>39</v>
      </c>
      <c r="H11" s="4">
        <v>40</v>
      </c>
      <c r="I11" s="4">
        <v>47</v>
      </c>
      <c r="J11" s="6">
        <f t="shared" si="1"/>
        <v>126</v>
      </c>
      <c r="K11" s="4">
        <v>23</v>
      </c>
      <c r="L11" s="4">
        <v>24</v>
      </c>
      <c r="M11" s="4">
        <v>25</v>
      </c>
      <c r="N11" s="6">
        <f t="shared" si="2"/>
        <v>72</v>
      </c>
      <c r="O11" s="4">
        <v>27</v>
      </c>
      <c r="P11" s="4">
        <v>33</v>
      </c>
      <c r="Q11" s="4">
        <v>40</v>
      </c>
      <c r="R11" s="6">
        <f t="shared" si="3"/>
        <v>100</v>
      </c>
      <c r="S11" s="7">
        <v>1</v>
      </c>
      <c r="T11" s="7">
        <v>1</v>
      </c>
      <c r="U11" s="8">
        <v>1</v>
      </c>
      <c r="V11" s="9">
        <f t="shared" si="4"/>
        <v>3</v>
      </c>
      <c r="W11" s="6">
        <f t="shared" si="5"/>
        <v>384</v>
      </c>
      <c r="X11" s="10"/>
      <c r="Y11" s="10"/>
      <c r="Z11" s="10"/>
      <c r="AA11" s="10"/>
      <c r="AB11" s="10"/>
      <c r="AC11" s="11"/>
      <c r="AD11" s="11"/>
      <c r="AE11" s="11"/>
      <c r="AF11" s="11"/>
      <c r="AG11" s="11"/>
      <c r="AH11" s="12"/>
      <c r="AI11" s="11"/>
      <c r="AJ11" s="11"/>
      <c r="AK11" s="11"/>
      <c r="AL11" s="11"/>
      <c r="AM11" s="11"/>
      <c r="AN11" s="11"/>
      <c r="AO11" s="11"/>
      <c r="AP11" s="11"/>
      <c r="AQ11" s="11"/>
    </row>
    <row r="12" spans="1:43" ht="15.75" customHeight="1">
      <c r="A12" s="1">
        <v>45885</v>
      </c>
      <c r="B12" s="3" t="s">
        <v>21</v>
      </c>
      <c r="C12" s="4">
        <v>30</v>
      </c>
      <c r="D12" s="4">
        <v>25</v>
      </c>
      <c r="E12" s="5">
        <v>25</v>
      </c>
      <c r="F12" s="6">
        <f t="shared" si="0"/>
        <v>80</v>
      </c>
      <c r="G12" s="4">
        <v>40</v>
      </c>
      <c r="H12" s="4">
        <v>40</v>
      </c>
      <c r="I12" s="4">
        <v>45</v>
      </c>
      <c r="J12" s="6">
        <f t="shared" si="1"/>
        <v>125</v>
      </c>
      <c r="K12" s="4">
        <v>24</v>
      </c>
      <c r="L12" s="4">
        <v>24</v>
      </c>
      <c r="M12" s="4">
        <v>20</v>
      </c>
      <c r="N12" s="6">
        <f t="shared" si="2"/>
        <v>68</v>
      </c>
      <c r="O12" s="4">
        <v>24</v>
      </c>
      <c r="P12" s="4">
        <v>20</v>
      </c>
      <c r="Q12" s="4">
        <v>17</v>
      </c>
      <c r="R12" s="6">
        <f t="shared" si="3"/>
        <v>61</v>
      </c>
      <c r="S12" s="4">
        <v>1.25</v>
      </c>
      <c r="T12" s="7">
        <v>1</v>
      </c>
      <c r="U12" s="5">
        <v>1.25</v>
      </c>
      <c r="V12" s="13">
        <f t="shared" si="4"/>
        <v>3.5</v>
      </c>
      <c r="W12" s="6">
        <f t="shared" si="5"/>
        <v>334</v>
      </c>
      <c r="X12" s="10"/>
      <c r="Y12" s="10"/>
      <c r="Z12" s="10"/>
      <c r="AA12" s="10"/>
      <c r="AB12" s="10"/>
      <c r="AC12" s="11"/>
      <c r="AD12" s="11"/>
      <c r="AE12" s="11"/>
      <c r="AF12" s="11"/>
      <c r="AG12" s="11"/>
      <c r="AH12" s="12"/>
      <c r="AI12" s="11"/>
      <c r="AJ12" s="11"/>
      <c r="AK12" s="11"/>
      <c r="AL12" s="11"/>
      <c r="AM12" s="11"/>
      <c r="AN12" s="11"/>
      <c r="AO12" s="11"/>
      <c r="AP12" s="11"/>
      <c r="AQ12" s="11"/>
    </row>
    <row r="13" spans="1:43" ht="15.75" customHeight="1">
      <c r="A13" s="1">
        <v>45885</v>
      </c>
      <c r="B13" s="3" t="s">
        <v>22</v>
      </c>
      <c r="C13" s="4">
        <v>28</v>
      </c>
      <c r="D13" s="4">
        <v>28</v>
      </c>
      <c r="E13" s="5">
        <v>28</v>
      </c>
      <c r="F13" s="6">
        <f t="shared" si="0"/>
        <v>84</v>
      </c>
      <c r="G13" s="4">
        <v>32</v>
      </c>
      <c r="H13" s="4">
        <v>37</v>
      </c>
      <c r="I13" s="4">
        <v>42</v>
      </c>
      <c r="J13" s="6">
        <f t="shared" si="1"/>
        <v>111</v>
      </c>
      <c r="K13" s="4">
        <v>25</v>
      </c>
      <c r="L13" s="4">
        <v>24</v>
      </c>
      <c r="M13" s="4">
        <v>24</v>
      </c>
      <c r="N13" s="6">
        <f t="shared" si="2"/>
        <v>73</v>
      </c>
      <c r="O13" s="4">
        <v>28</v>
      </c>
      <c r="P13" s="4">
        <v>29</v>
      </c>
      <c r="Q13" s="4">
        <v>32</v>
      </c>
      <c r="R13" s="6">
        <f t="shared" si="3"/>
        <v>89</v>
      </c>
      <c r="S13" s="4">
        <v>1.25</v>
      </c>
      <c r="T13" s="7">
        <v>1.5</v>
      </c>
      <c r="U13" s="8">
        <v>1.5</v>
      </c>
      <c r="V13" s="13">
        <f t="shared" si="4"/>
        <v>4.25</v>
      </c>
      <c r="W13" s="6">
        <f t="shared" si="5"/>
        <v>357</v>
      </c>
      <c r="X13" s="10"/>
      <c r="Y13" s="10"/>
      <c r="Z13" s="10"/>
      <c r="AA13" s="10"/>
      <c r="AB13" s="10"/>
      <c r="AC13" s="11"/>
      <c r="AD13" s="11"/>
      <c r="AE13" s="11"/>
      <c r="AF13" s="11"/>
      <c r="AG13" s="11"/>
      <c r="AH13" s="12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15.75" customHeight="1">
      <c r="A14" s="1">
        <v>45885</v>
      </c>
      <c r="B14" s="3" t="s">
        <v>23</v>
      </c>
      <c r="C14" s="4">
        <v>34</v>
      </c>
      <c r="D14" s="4">
        <v>23</v>
      </c>
      <c r="E14" s="5">
        <v>20</v>
      </c>
      <c r="F14" s="6">
        <f t="shared" si="0"/>
        <v>77</v>
      </c>
      <c r="G14" s="4">
        <v>44</v>
      </c>
      <c r="H14" s="4">
        <v>60</v>
      </c>
      <c r="I14" s="4">
        <v>54</v>
      </c>
      <c r="J14" s="6">
        <f t="shared" si="1"/>
        <v>158</v>
      </c>
      <c r="K14" s="4">
        <v>25</v>
      </c>
      <c r="L14" s="4">
        <v>33</v>
      </c>
      <c r="M14" s="4">
        <v>30</v>
      </c>
      <c r="N14" s="6">
        <f t="shared" si="2"/>
        <v>88</v>
      </c>
      <c r="O14" s="4">
        <v>30</v>
      </c>
      <c r="P14" s="4">
        <v>25</v>
      </c>
      <c r="Q14" s="4">
        <v>20</v>
      </c>
      <c r="R14" s="6">
        <f t="shared" si="3"/>
        <v>75</v>
      </c>
      <c r="S14" s="4">
        <v>0.75</v>
      </c>
      <c r="T14" s="4">
        <v>0.75</v>
      </c>
      <c r="U14" s="8">
        <v>1</v>
      </c>
      <c r="V14" s="13">
        <f t="shared" si="4"/>
        <v>2.5</v>
      </c>
      <c r="W14" s="6">
        <f t="shared" si="5"/>
        <v>398</v>
      </c>
      <c r="X14" s="10"/>
      <c r="Y14" s="10"/>
      <c r="Z14" s="10"/>
      <c r="AA14" s="10"/>
      <c r="AB14" s="10"/>
      <c r="AC14" s="11"/>
      <c r="AD14" s="11"/>
      <c r="AE14" s="11"/>
      <c r="AF14" s="11"/>
      <c r="AG14" s="11"/>
      <c r="AH14" s="12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15.75" customHeight="1">
      <c r="A15" s="1">
        <v>45885</v>
      </c>
      <c r="B15" s="3" t="s">
        <v>24</v>
      </c>
      <c r="C15" s="4">
        <v>24</v>
      </c>
      <c r="D15" s="4">
        <v>13</v>
      </c>
      <c r="E15" s="5">
        <v>10</v>
      </c>
      <c r="F15" s="6">
        <f t="shared" si="0"/>
        <v>47</v>
      </c>
      <c r="G15" s="4">
        <v>39</v>
      </c>
      <c r="H15" s="4">
        <v>41</v>
      </c>
      <c r="I15" s="4">
        <v>30</v>
      </c>
      <c r="J15" s="6">
        <f t="shared" si="1"/>
        <v>110</v>
      </c>
      <c r="K15" s="4">
        <v>20</v>
      </c>
      <c r="L15" s="4">
        <v>15</v>
      </c>
      <c r="M15" s="4">
        <v>14</v>
      </c>
      <c r="N15" s="6">
        <f t="shared" si="2"/>
        <v>49</v>
      </c>
      <c r="O15" s="4">
        <v>14</v>
      </c>
      <c r="P15" s="4">
        <v>12</v>
      </c>
      <c r="Q15" s="4">
        <v>7</v>
      </c>
      <c r="R15" s="6">
        <f t="shared" si="3"/>
        <v>33</v>
      </c>
      <c r="S15" s="4">
        <v>1.25</v>
      </c>
      <c r="T15" s="4">
        <v>1.25</v>
      </c>
      <c r="U15" s="8">
        <v>1</v>
      </c>
      <c r="V15" s="13">
        <f t="shared" si="4"/>
        <v>3.5</v>
      </c>
      <c r="W15" s="6">
        <f t="shared" si="5"/>
        <v>239</v>
      </c>
      <c r="X15" s="10"/>
      <c r="Y15" s="10"/>
      <c r="Z15" s="10"/>
      <c r="AA15" s="10"/>
      <c r="AB15" s="10"/>
      <c r="AC15" s="11"/>
      <c r="AD15" s="11"/>
      <c r="AE15" s="11"/>
      <c r="AF15" s="11"/>
      <c r="AG15" s="11"/>
      <c r="AH15" s="12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15.75" customHeight="1">
      <c r="A16" s="1">
        <v>45885</v>
      </c>
      <c r="B16" s="3" t="s">
        <v>25</v>
      </c>
      <c r="C16" s="4">
        <v>30</v>
      </c>
      <c r="D16" s="4">
        <v>27</v>
      </c>
      <c r="E16" s="5">
        <v>22</v>
      </c>
      <c r="F16" s="6">
        <f t="shared" si="0"/>
        <v>79</v>
      </c>
      <c r="G16" s="4">
        <v>48</v>
      </c>
      <c r="H16" s="4">
        <v>51</v>
      </c>
      <c r="I16" s="4">
        <v>44</v>
      </c>
      <c r="J16" s="6">
        <f t="shared" si="1"/>
        <v>143</v>
      </c>
      <c r="K16" s="4">
        <v>26</v>
      </c>
      <c r="L16" s="4">
        <v>21</v>
      </c>
      <c r="M16" s="4">
        <v>19</v>
      </c>
      <c r="N16" s="6">
        <f t="shared" si="2"/>
        <v>66</v>
      </c>
      <c r="O16" s="4">
        <v>30</v>
      </c>
      <c r="P16" s="4">
        <v>30</v>
      </c>
      <c r="Q16" s="4">
        <v>21</v>
      </c>
      <c r="R16" s="6">
        <f t="shared" si="3"/>
        <v>81</v>
      </c>
      <c r="S16" s="7">
        <v>1</v>
      </c>
      <c r="T16" s="4">
        <v>1.25</v>
      </c>
      <c r="U16" s="8">
        <v>1</v>
      </c>
      <c r="V16" s="9">
        <f t="shared" si="4"/>
        <v>3.25</v>
      </c>
      <c r="W16" s="6">
        <f t="shared" si="5"/>
        <v>369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2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15.75" customHeight="1">
      <c r="A17" s="1">
        <v>45885</v>
      </c>
      <c r="B17" s="3" t="s">
        <v>26</v>
      </c>
      <c r="C17" s="4">
        <v>30</v>
      </c>
      <c r="D17" s="4">
        <v>30</v>
      </c>
      <c r="E17" s="5">
        <v>18</v>
      </c>
      <c r="F17" s="6">
        <f t="shared" si="0"/>
        <v>78</v>
      </c>
      <c r="G17" s="4">
        <v>40</v>
      </c>
      <c r="H17" s="4">
        <v>40</v>
      </c>
      <c r="I17" s="4">
        <v>30</v>
      </c>
      <c r="J17" s="6">
        <f t="shared" si="1"/>
        <v>110</v>
      </c>
      <c r="K17" s="4">
        <v>30</v>
      </c>
      <c r="L17" s="4">
        <v>24</v>
      </c>
      <c r="M17" s="4">
        <v>17</v>
      </c>
      <c r="N17" s="6">
        <f t="shared" si="2"/>
        <v>71</v>
      </c>
      <c r="O17" s="4">
        <v>22</v>
      </c>
      <c r="P17" s="4">
        <v>14</v>
      </c>
      <c r="Q17" s="4">
        <v>12</v>
      </c>
      <c r="R17" s="6">
        <f t="shared" si="3"/>
        <v>48</v>
      </c>
      <c r="S17" s="7">
        <v>1</v>
      </c>
      <c r="T17" s="7">
        <v>1</v>
      </c>
      <c r="U17" s="8">
        <v>1</v>
      </c>
      <c r="V17" s="9">
        <f t="shared" si="4"/>
        <v>3</v>
      </c>
      <c r="W17" s="6">
        <f t="shared" si="5"/>
        <v>307</v>
      </c>
      <c r="X17" s="10"/>
      <c r="Y17" s="10"/>
      <c r="Z17" s="10"/>
      <c r="AA17" s="10"/>
      <c r="AB17" s="10"/>
      <c r="AC17" s="11"/>
      <c r="AD17" s="11"/>
      <c r="AE17" s="11"/>
      <c r="AF17" s="11"/>
      <c r="AG17" s="11"/>
      <c r="AH17" s="12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15.75" customHeight="1">
      <c r="A18" s="1">
        <v>45885</v>
      </c>
      <c r="B18" s="3" t="s">
        <v>27</v>
      </c>
      <c r="C18" s="4">
        <v>25</v>
      </c>
      <c r="D18" s="4">
        <v>18</v>
      </c>
      <c r="E18" s="5">
        <v>16</v>
      </c>
      <c r="F18" s="6">
        <f t="shared" si="0"/>
        <v>59</v>
      </c>
      <c r="G18" s="4">
        <v>44</v>
      </c>
      <c r="H18" s="4">
        <v>47</v>
      </c>
      <c r="I18" s="4">
        <v>54</v>
      </c>
      <c r="J18" s="6">
        <f t="shared" si="1"/>
        <v>145</v>
      </c>
      <c r="K18" s="4">
        <v>25</v>
      </c>
      <c r="L18" s="4">
        <v>22</v>
      </c>
      <c r="M18" s="4">
        <v>22</v>
      </c>
      <c r="N18" s="6">
        <f t="shared" si="2"/>
        <v>69</v>
      </c>
      <c r="O18" s="4">
        <v>40</v>
      </c>
      <c r="P18" s="4">
        <v>29</v>
      </c>
      <c r="Q18" s="4">
        <v>20</v>
      </c>
      <c r="R18" s="6">
        <f t="shared" si="3"/>
        <v>89</v>
      </c>
      <c r="S18" s="4">
        <v>0.75</v>
      </c>
      <c r="T18" s="7">
        <v>1</v>
      </c>
      <c r="U18" s="8">
        <v>0.5</v>
      </c>
      <c r="V18" s="13">
        <f t="shared" si="4"/>
        <v>2.25</v>
      </c>
      <c r="W18" s="6">
        <f t="shared" si="5"/>
        <v>362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2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5.75" customHeight="1">
      <c r="A19" s="1">
        <v>45885</v>
      </c>
      <c r="B19" s="3" t="s">
        <v>28</v>
      </c>
      <c r="C19" s="4">
        <v>30</v>
      </c>
      <c r="D19" s="4">
        <v>24</v>
      </c>
      <c r="E19" s="5">
        <v>22</v>
      </c>
      <c r="F19" s="6">
        <f t="shared" si="0"/>
        <v>76</v>
      </c>
      <c r="G19" s="4">
        <v>35</v>
      </c>
      <c r="H19" s="4">
        <v>42</v>
      </c>
      <c r="I19" s="4">
        <v>45</v>
      </c>
      <c r="J19" s="6">
        <f t="shared" si="1"/>
        <v>122</v>
      </c>
      <c r="K19" s="4">
        <v>25</v>
      </c>
      <c r="L19" s="4">
        <v>22</v>
      </c>
      <c r="M19" s="4">
        <v>22</v>
      </c>
      <c r="N19" s="6">
        <f t="shared" si="2"/>
        <v>69</v>
      </c>
      <c r="O19" s="4">
        <v>25</v>
      </c>
      <c r="P19" s="4">
        <v>28</v>
      </c>
      <c r="Q19" s="4">
        <v>30</v>
      </c>
      <c r="R19" s="6">
        <f t="shared" si="3"/>
        <v>83</v>
      </c>
      <c r="S19" s="7">
        <v>1</v>
      </c>
      <c r="T19" s="7">
        <v>1</v>
      </c>
      <c r="U19" s="5">
        <v>1.25</v>
      </c>
      <c r="V19" s="9">
        <f t="shared" si="4"/>
        <v>3.25</v>
      </c>
      <c r="W19" s="6">
        <f t="shared" si="5"/>
        <v>350</v>
      </c>
      <c r="X19" s="10"/>
      <c r="Y19" s="10"/>
      <c r="Z19" s="10"/>
      <c r="AA19" s="10"/>
      <c r="AB19" s="10"/>
      <c r="AC19" s="11"/>
      <c r="AD19" s="11"/>
      <c r="AE19" s="11"/>
      <c r="AF19" s="11"/>
      <c r="AG19" s="11"/>
      <c r="AH19" s="12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5.75" customHeight="1">
      <c r="A20" s="1">
        <v>45885</v>
      </c>
      <c r="B20" s="3" t="s">
        <v>29</v>
      </c>
      <c r="C20" s="4">
        <v>15</v>
      </c>
      <c r="D20" s="4">
        <v>20</v>
      </c>
      <c r="E20" s="5">
        <v>26</v>
      </c>
      <c r="F20" s="6">
        <f t="shared" si="0"/>
        <v>61</v>
      </c>
      <c r="G20" s="4">
        <v>40</v>
      </c>
      <c r="H20" s="4">
        <v>32</v>
      </c>
      <c r="I20" s="4">
        <v>44</v>
      </c>
      <c r="J20" s="6">
        <f t="shared" si="1"/>
        <v>116</v>
      </c>
      <c r="K20" s="4">
        <v>30</v>
      </c>
      <c r="L20" s="4">
        <v>28</v>
      </c>
      <c r="M20" s="4">
        <v>29</v>
      </c>
      <c r="N20" s="6">
        <f t="shared" si="2"/>
        <v>87</v>
      </c>
      <c r="O20" s="4">
        <v>24</v>
      </c>
      <c r="P20" s="4">
        <v>28</v>
      </c>
      <c r="Q20" s="4">
        <v>32</v>
      </c>
      <c r="R20" s="6">
        <f t="shared" si="3"/>
        <v>84</v>
      </c>
      <c r="S20" s="7">
        <v>1</v>
      </c>
      <c r="T20" s="7">
        <v>1</v>
      </c>
      <c r="U20" s="8">
        <v>1</v>
      </c>
      <c r="V20" s="9">
        <f t="shared" si="4"/>
        <v>3</v>
      </c>
      <c r="W20" s="6">
        <f t="shared" si="5"/>
        <v>348</v>
      </c>
      <c r="X20" s="10"/>
      <c r="Y20" s="10"/>
      <c r="Z20" s="10"/>
      <c r="AA20" s="10"/>
      <c r="AB20" s="10"/>
      <c r="AC20" s="11"/>
      <c r="AD20" s="11"/>
      <c r="AE20" s="11"/>
      <c r="AF20" s="11"/>
      <c r="AG20" s="11"/>
      <c r="AH20" s="12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ht="14.25">
      <c r="A21" s="1">
        <v>45990</v>
      </c>
      <c r="B21" s="15" t="s">
        <v>12</v>
      </c>
      <c r="C21" s="16">
        <v>39</v>
      </c>
      <c r="D21" s="16">
        <v>30</v>
      </c>
      <c r="E21" s="5">
        <v>31</v>
      </c>
      <c r="F21" s="6">
        <f t="shared" si="0"/>
        <v>100</v>
      </c>
      <c r="G21" s="16">
        <v>66</v>
      </c>
      <c r="H21" s="16">
        <v>69</v>
      </c>
      <c r="I21" s="16">
        <v>73</v>
      </c>
      <c r="J21" s="6">
        <f t="shared" si="1"/>
        <v>208</v>
      </c>
      <c r="K21" s="16">
        <v>32</v>
      </c>
      <c r="L21" s="16">
        <v>30</v>
      </c>
      <c r="M21" s="16">
        <v>31</v>
      </c>
      <c r="N21" s="6">
        <f t="shared" si="2"/>
        <v>93</v>
      </c>
      <c r="O21" s="16">
        <v>25</v>
      </c>
      <c r="P21" s="16">
        <v>33</v>
      </c>
      <c r="Q21" s="16">
        <v>35</v>
      </c>
      <c r="R21" s="6">
        <f t="shared" si="3"/>
        <v>93</v>
      </c>
      <c r="S21" s="16">
        <v>1.25</v>
      </c>
      <c r="T21" s="17">
        <v>1</v>
      </c>
      <c r="U21" s="8">
        <v>1.25</v>
      </c>
      <c r="V21" s="13">
        <f t="shared" si="4"/>
        <v>3.5</v>
      </c>
      <c r="W21" s="6">
        <f t="shared" si="5"/>
        <v>494</v>
      </c>
      <c r="X21" s="10"/>
      <c r="Y21" s="10"/>
      <c r="Z21" s="10"/>
      <c r="AA21" s="10"/>
      <c r="AB21" s="10"/>
      <c r="AC21" s="11"/>
      <c r="AD21" s="11"/>
      <c r="AE21" s="11"/>
      <c r="AF21" s="11"/>
      <c r="AG21" s="11"/>
      <c r="AH21" s="12"/>
      <c r="AI21" s="11"/>
      <c r="AJ21" s="11"/>
      <c r="AK21" s="11"/>
      <c r="AL21" s="11"/>
      <c r="AM21" s="11"/>
      <c r="AN21" s="11"/>
      <c r="AO21" s="11"/>
      <c r="AP21" s="11"/>
      <c r="AQ21" s="11"/>
    </row>
    <row r="22" spans="1:43" ht="14.25">
      <c r="A22" s="1">
        <v>45990</v>
      </c>
      <c r="B22" s="15" t="s">
        <v>13</v>
      </c>
      <c r="C22" s="16">
        <v>36</v>
      </c>
      <c r="D22" s="16">
        <v>31</v>
      </c>
      <c r="E22" s="5">
        <v>26</v>
      </c>
      <c r="F22" s="6">
        <f t="shared" si="0"/>
        <v>93</v>
      </c>
      <c r="G22" s="16">
        <v>56</v>
      </c>
      <c r="H22" s="16">
        <v>51</v>
      </c>
      <c r="I22" s="16">
        <v>51</v>
      </c>
      <c r="J22" s="6">
        <f t="shared" si="1"/>
        <v>158</v>
      </c>
      <c r="K22" s="16">
        <v>33</v>
      </c>
      <c r="L22" s="16">
        <v>35</v>
      </c>
      <c r="M22" s="16">
        <v>29</v>
      </c>
      <c r="N22" s="6">
        <f t="shared" si="2"/>
        <v>97</v>
      </c>
      <c r="O22" s="16">
        <v>28</v>
      </c>
      <c r="P22" s="16">
        <v>26</v>
      </c>
      <c r="Q22" s="16">
        <v>38</v>
      </c>
      <c r="R22" s="6">
        <f t="shared" si="3"/>
        <v>92</v>
      </c>
      <c r="S22" s="17">
        <v>1.5</v>
      </c>
      <c r="T22" s="17">
        <v>1.5</v>
      </c>
      <c r="U22" s="8">
        <v>1.5</v>
      </c>
      <c r="V22" s="9">
        <f t="shared" si="4"/>
        <v>4.5</v>
      </c>
      <c r="W22" s="6">
        <f t="shared" si="5"/>
        <v>440</v>
      </c>
      <c r="X22" s="10"/>
      <c r="Y22" s="10"/>
      <c r="Z22" s="10"/>
      <c r="AA22" s="10"/>
      <c r="AB22" s="10"/>
      <c r="AC22" s="11"/>
      <c r="AD22" s="11"/>
      <c r="AE22" s="11"/>
      <c r="AF22" s="11"/>
      <c r="AG22" s="11"/>
      <c r="AH22" s="12"/>
      <c r="AI22" s="11"/>
      <c r="AJ22" s="11"/>
      <c r="AK22" s="11"/>
      <c r="AL22" s="11"/>
      <c r="AM22" s="11"/>
      <c r="AN22" s="11"/>
      <c r="AO22" s="11"/>
      <c r="AP22" s="11"/>
      <c r="AQ22" s="11"/>
    </row>
    <row r="23" spans="1:43" ht="14.25">
      <c r="A23" s="1">
        <v>45990</v>
      </c>
      <c r="B23" s="15" t="s">
        <v>16</v>
      </c>
      <c r="C23" s="16">
        <v>45</v>
      </c>
      <c r="D23" s="16">
        <v>31</v>
      </c>
      <c r="E23" s="5">
        <v>30</v>
      </c>
      <c r="F23" s="6">
        <f t="shared" si="0"/>
        <v>106</v>
      </c>
      <c r="G23" s="16">
        <v>71</v>
      </c>
      <c r="H23" s="16">
        <v>69</v>
      </c>
      <c r="I23" s="16">
        <v>70</v>
      </c>
      <c r="J23" s="6">
        <f t="shared" si="1"/>
        <v>210</v>
      </c>
      <c r="K23" s="16">
        <v>34</v>
      </c>
      <c r="L23" s="16">
        <v>28</v>
      </c>
      <c r="M23" s="16">
        <v>26</v>
      </c>
      <c r="N23" s="6">
        <f t="shared" si="2"/>
        <v>88</v>
      </c>
      <c r="O23" s="16">
        <v>33</v>
      </c>
      <c r="P23" s="16">
        <v>24</v>
      </c>
      <c r="Q23" s="16">
        <v>32</v>
      </c>
      <c r="R23" s="6">
        <f t="shared" si="3"/>
        <v>89</v>
      </c>
      <c r="S23" s="17">
        <v>1.5</v>
      </c>
      <c r="T23" s="17">
        <v>1.5</v>
      </c>
      <c r="U23" s="8">
        <v>1.75</v>
      </c>
      <c r="V23" s="9">
        <f t="shared" si="4"/>
        <v>4.75</v>
      </c>
      <c r="W23" s="6">
        <f t="shared" si="5"/>
        <v>493</v>
      </c>
      <c r="X23" s="10"/>
      <c r="Y23" s="10"/>
      <c r="Z23" s="10"/>
      <c r="AA23" s="10"/>
      <c r="AB23" s="10"/>
      <c r="AC23" s="11"/>
      <c r="AD23" s="11"/>
      <c r="AE23" s="11"/>
      <c r="AF23" s="11"/>
      <c r="AG23" s="11"/>
      <c r="AH23" s="12"/>
      <c r="AI23" s="11"/>
      <c r="AJ23" s="11"/>
      <c r="AK23" s="11"/>
      <c r="AL23" s="11"/>
      <c r="AM23" s="11"/>
      <c r="AN23" s="11"/>
      <c r="AO23" s="11"/>
      <c r="AP23" s="11"/>
      <c r="AQ23" s="11"/>
    </row>
    <row r="24" spans="1:43" ht="14.25">
      <c r="A24" s="1">
        <v>45990</v>
      </c>
      <c r="B24" s="15" t="s">
        <v>30</v>
      </c>
      <c r="C24" s="16">
        <v>43</v>
      </c>
      <c r="D24" s="16">
        <v>23</v>
      </c>
      <c r="E24" s="5">
        <v>20</v>
      </c>
      <c r="F24" s="6">
        <f t="shared" si="0"/>
        <v>86</v>
      </c>
      <c r="G24" s="16">
        <v>60</v>
      </c>
      <c r="H24" s="16">
        <v>45</v>
      </c>
      <c r="I24" s="16">
        <v>48</v>
      </c>
      <c r="J24" s="6">
        <f t="shared" si="1"/>
        <v>153</v>
      </c>
      <c r="K24" s="16">
        <v>28</v>
      </c>
      <c r="L24" s="16">
        <v>21</v>
      </c>
      <c r="M24" s="16">
        <v>33</v>
      </c>
      <c r="N24" s="6">
        <f t="shared" si="2"/>
        <v>82</v>
      </c>
      <c r="O24" s="16">
        <v>28</v>
      </c>
      <c r="P24" s="16">
        <v>26</v>
      </c>
      <c r="Q24" s="16">
        <v>35</v>
      </c>
      <c r="R24" s="6">
        <f t="shared" si="3"/>
        <v>89</v>
      </c>
      <c r="S24" s="17">
        <v>1.5</v>
      </c>
      <c r="T24" s="17">
        <v>1.25</v>
      </c>
      <c r="U24" s="8">
        <v>1.75</v>
      </c>
      <c r="V24" s="9">
        <f t="shared" si="4"/>
        <v>4.5</v>
      </c>
      <c r="W24" s="6">
        <f t="shared" si="5"/>
        <v>410</v>
      </c>
      <c r="X24" s="10"/>
      <c r="Y24" s="10"/>
      <c r="Z24" s="10"/>
      <c r="AA24" s="10"/>
      <c r="AB24" s="10"/>
      <c r="AC24" s="11"/>
      <c r="AD24" s="11"/>
      <c r="AE24" s="11"/>
      <c r="AF24" s="11"/>
      <c r="AG24" s="11"/>
      <c r="AH24" s="12"/>
      <c r="AI24" s="11"/>
      <c r="AJ24" s="11"/>
      <c r="AK24" s="11"/>
      <c r="AL24" s="11"/>
      <c r="AM24" s="11"/>
      <c r="AN24" s="11"/>
      <c r="AO24" s="11"/>
      <c r="AP24" s="11"/>
      <c r="AQ24" s="11"/>
    </row>
    <row r="25" spans="1:43" ht="14.25">
      <c r="A25" s="1">
        <v>45990</v>
      </c>
      <c r="B25" s="15" t="s">
        <v>31</v>
      </c>
      <c r="C25" s="16">
        <v>25</v>
      </c>
      <c r="D25" s="16">
        <v>28</v>
      </c>
      <c r="E25" s="5">
        <v>6</v>
      </c>
      <c r="F25" s="6">
        <f t="shared" si="0"/>
        <v>59</v>
      </c>
      <c r="G25" s="16">
        <v>41</v>
      </c>
      <c r="H25" s="16">
        <v>30</v>
      </c>
      <c r="I25" s="16">
        <v>30</v>
      </c>
      <c r="J25" s="6">
        <f t="shared" si="1"/>
        <v>101</v>
      </c>
      <c r="K25" s="16">
        <v>45</v>
      </c>
      <c r="L25" s="16">
        <v>31</v>
      </c>
      <c r="M25" s="16">
        <v>31</v>
      </c>
      <c r="N25" s="6">
        <f t="shared" si="2"/>
        <v>107</v>
      </c>
      <c r="O25" s="16">
        <v>30</v>
      </c>
      <c r="P25" s="16">
        <v>20</v>
      </c>
      <c r="Q25" s="16">
        <v>30</v>
      </c>
      <c r="R25" s="6">
        <f t="shared" si="3"/>
        <v>80</v>
      </c>
      <c r="S25" s="17">
        <v>1.5</v>
      </c>
      <c r="T25" s="17">
        <v>1.25</v>
      </c>
      <c r="U25" s="8">
        <v>1.5</v>
      </c>
      <c r="V25" s="9">
        <f t="shared" si="4"/>
        <v>4.25</v>
      </c>
      <c r="W25" s="6">
        <f t="shared" si="5"/>
        <v>347</v>
      </c>
      <c r="X25" s="10"/>
      <c r="Y25" s="10"/>
      <c r="Z25" s="10"/>
      <c r="AA25" s="10"/>
      <c r="AB25" s="10"/>
      <c r="AC25" s="11"/>
      <c r="AD25" s="11"/>
      <c r="AE25" s="11"/>
      <c r="AF25" s="11"/>
      <c r="AG25" s="11"/>
      <c r="AH25" s="12"/>
      <c r="AI25" s="11"/>
      <c r="AJ25" s="11"/>
      <c r="AK25" s="11"/>
      <c r="AL25" s="11"/>
      <c r="AM25" s="11"/>
      <c r="AN25" s="11"/>
      <c r="AO25" s="11"/>
      <c r="AP25" s="11"/>
      <c r="AQ25" s="11"/>
    </row>
    <row r="26" spans="1:43" ht="14.25">
      <c r="A26" s="1">
        <v>45990</v>
      </c>
      <c r="B26" s="15" t="s">
        <v>17</v>
      </c>
      <c r="C26" s="16">
        <v>29</v>
      </c>
      <c r="D26" s="16">
        <v>27</v>
      </c>
      <c r="E26" s="5">
        <v>26</v>
      </c>
      <c r="F26" s="6">
        <f t="shared" si="0"/>
        <v>82</v>
      </c>
      <c r="G26" s="16">
        <v>57</v>
      </c>
      <c r="H26" s="16">
        <v>60</v>
      </c>
      <c r="I26" s="16">
        <v>57</v>
      </c>
      <c r="J26" s="6">
        <f t="shared" si="1"/>
        <v>174</v>
      </c>
      <c r="K26" s="16">
        <v>22</v>
      </c>
      <c r="L26" s="16">
        <v>24</v>
      </c>
      <c r="M26" s="16">
        <v>25</v>
      </c>
      <c r="N26" s="6">
        <f t="shared" si="2"/>
        <v>71</v>
      </c>
      <c r="O26" s="16">
        <v>31</v>
      </c>
      <c r="P26" s="16">
        <v>30</v>
      </c>
      <c r="Q26" s="16">
        <v>33</v>
      </c>
      <c r="R26" s="6">
        <f t="shared" si="3"/>
        <v>94</v>
      </c>
      <c r="S26" s="17">
        <v>1.5</v>
      </c>
      <c r="T26" s="17">
        <v>1.5</v>
      </c>
      <c r="U26" s="8">
        <v>1.5</v>
      </c>
      <c r="V26" s="9">
        <f t="shared" si="4"/>
        <v>4.5</v>
      </c>
      <c r="W26" s="6">
        <f t="shared" si="5"/>
        <v>421</v>
      </c>
      <c r="X26" s="10"/>
      <c r="Y26" s="10"/>
      <c r="Z26" s="10"/>
      <c r="AA26" s="10"/>
      <c r="AB26" s="10"/>
      <c r="AC26" s="11"/>
      <c r="AD26" s="11"/>
      <c r="AE26" s="11"/>
      <c r="AF26" s="11"/>
      <c r="AG26" s="11"/>
      <c r="AH26" s="12"/>
      <c r="AI26" s="11"/>
      <c r="AJ26" s="11"/>
      <c r="AK26" s="11"/>
      <c r="AL26" s="11"/>
      <c r="AM26" s="11"/>
      <c r="AN26" s="11"/>
      <c r="AO26" s="11"/>
      <c r="AP26" s="11"/>
      <c r="AQ26" s="11"/>
    </row>
    <row r="27" spans="1:43" ht="14.25">
      <c r="A27" s="1">
        <v>45990</v>
      </c>
      <c r="B27" s="15" t="s">
        <v>32</v>
      </c>
      <c r="C27" s="16">
        <v>31</v>
      </c>
      <c r="D27" s="16">
        <v>19</v>
      </c>
      <c r="E27" s="5">
        <v>24</v>
      </c>
      <c r="F27" s="6">
        <f t="shared" si="0"/>
        <v>74</v>
      </c>
      <c r="G27" s="16">
        <v>67</v>
      </c>
      <c r="H27" s="16">
        <v>57</v>
      </c>
      <c r="I27" s="16">
        <v>60</v>
      </c>
      <c r="J27" s="6">
        <f t="shared" si="1"/>
        <v>184</v>
      </c>
      <c r="K27" s="16">
        <v>32</v>
      </c>
      <c r="L27" s="16">
        <v>28</v>
      </c>
      <c r="M27" s="16">
        <v>28</v>
      </c>
      <c r="N27" s="6">
        <f t="shared" si="2"/>
        <v>88</v>
      </c>
      <c r="O27" s="16">
        <v>30</v>
      </c>
      <c r="P27" s="16">
        <v>26</v>
      </c>
      <c r="Q27" s="16">
        <v>35</v>
      </c>
      <c r="R27" s="6">
        <f t="shared" si="3"/>
        <v>91</v>
      </c>
      <c r="S27" s="17">
        <v>1.5</v>
      </c>
      <c r="T27" s="17">
        <v>1.5</v>
      </c>
      <c r="U27" s="8">
        <v>1.5</v>
      </c>
      <c r="V27" s="9">
        <f t="shared" si="4"/>
        <v>4.5</v>
      </c>
      <c r="W27" s="6">
        <f t="shared" si="5"/>
        <v>437</v>
      </c>
      <c r="X27" s="10"/>
      <c r="Y27" s="10"/>
      <c r="Z27" s="10"/>
      <c r="AA27" s="10"/>
      <c r="AB27" s="10"/>
      <c r="AC27" s="11"/>
      <c r="AD27" s="11"/>
      <c r="AE27" s="11"/>
      <c r="AF27" s="11"/>
      <c r="AG27" s="11"/>
      <c r="AH27" s="12"/>
      <c r="AI27" s="11"/>
      <c r="AJ27" s="11"/>
      <c r="AK27" s="11"/>
      <c r="AL27" s="11"/>
      <c r="AM27" s="11"/>
      <c r="AN27" s="11"/>
      <c r="AO27" s="11"/>
      <c r="AP27" s="11"/>
      <c r="AQ27" s="11"/>
    </row>
    <row r="28" spans="1:43" ht="14.25">
      <c r="A28" s="1">
        <v>45990</v>
      </c>
      <c r="B28" s="15" t="s">
        <v>33</v>
      </c>
      <c r="C28" s="16">
        <v>30</v>
      </c>
      <c r="D28" s="16">
        <v>32</v>
      </c>
      <c r="E28" s="5">
        <v>20</v>
      </c>
      <c r="F28" s="6">
        <f t="shared" si="0"/>
        <v>82</v>
      </c>
      <c r="G28" s="16">
        <v>38</v>
      </c>
      <c r="H28" s="16">
        <v>31</v>
      </c>
      <c r="I28" s="16">
        <v>25</v>
      </c>
      <c r="J28" s="6">
        <f t="shared" si="1"/>
        <v>94</v>
      </c>
      <c r="K28" s="16">
        <v>40</v>
      </c>
      <c r="L28" s="16">
        <v>31</v>
      </c>
      <c r="M28" s="16">
        <v>41</v>
      </c>
      <c r="N28" s="6">
        <f t="shared" si="2"/>
        <v>112</v>
      </c>
      <c r="O28" s="16">
        <v>20</v>
      </c>
      <c r="P28" s="16">
        <v>15</v>
      </c>
      <c r="Q28" s="16">
        <v>13</v>
      </c>
      <c r="R28" s="6">
        <f t="shared" si="3"/>
        <v>48</v>
      </c>
      <c r="S28" s="17">
        <v>0.75</v>
      </c>
      <c r="T28" s="17">
        <v>0.5</v>
      </c>
      <c r="U28" s="8">
        <v>0.5</v>
      </c>
      <c r="V28" s="9">
        <f t="shared" si="4"/>
        <v>1.75</v>
      </c>
      <c r="W28" s="6">
        <f t="shared" si="5"/>
        <v>336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2"/>
      <c r="AI28" s="11"/>
      <c r="AJ28" s="11"/>
      <c r="AK28" s="11"/>
      <c r="AL28" s="11"/>
      <c r="AM28" s="11"/>
      <c r="AN28" s="11"/>
      <c r="AO28" s="11"/>
      <c r="AP28" s="11"/>
      <c r="AQ28" s="11"/>
    </row>
    <row r="29" spans="1:43" ht="14.25">
      <c r="A29" s="1">
        <v>45990</v>
      </c>
      <c r="B29" s="15" t="s">
        <v>20</v>
      </c>
      <c r="C29" s="16">
        <v>31</v>
      </c>
      <c r="D29" s="16">
        <v>27</v>
      </c>
      <c r="E29" s="5">
        <v>26</v>
      </c>
      <c r="F29" s="6">
        <f t="shared" si="0"/>
        <v>84</v>
      </c>
      <c r="G29" s="16">
        <v>54</v>
      </c>
      <c r="H29" s="16">
        <v>50</v>
      </c>
      <c r="I29" s="16">
        <v>57</v>
      </c>
      <c r="J29" s="6">
        <f t="shared" si="1"/>
        <v>161</v>
      </c>
      <c r="K29" s="16">
        <v>47</v>
      </c>
      <c r="L29" s="16">
        <v>48</v>
      </c>
      <c r="M29" s="16">
        <v>50</v>
      </c>
      <c r="N29" s="6">
        <f t="shared" si="2"/>
        <v>145</v>
      </c>
      <c r="O29" s="16">
        <v>40</v>
      </c>
      <c r="P29" s="16">
        <v>40</v>
      </c>
      <c r="Q29" s="16">
        <v>44</v>
      </c>
      <c r="R29" s="6">
        <f t="shared" si="3"/>
        <v>124</v>
      </c>
      <c r="S29" s="17">
        <v>1.5</v>
      </c>
      <c r="T29" s="16">
        <v>1.25</v>
      </c>
      <c r="U29" s="8">
        <v>1.25</v>
      </c>
      <c r="V29" s="9">
        <f t="shared" si="4"/>
        <v>4</v>
      </c>
      <c r="W29" s="6">
        <f t="shared" si="5"/>
        <v>514</v>
      </c>
      <c r="X29" s="10"/>
      <c r="Y29" s="10"/>
      <c r="Z29" s="10"/>
      <c r="AA29" s="10"/>
      <c r="AB29" s="10"/>
      <c r="AC29" s="11"/>
      <c r="AD29" s="11"/>
      <c r="AE29" s="11"/>
      <c r="AF29" s="11"/>
      <c r="AG29" s="11"/>
      <c r="AH29" s="12"/>
      <c r="AI29" s="11"/>
      <c r="AJ29" s="11"/>
      <c r="AK29" s="11"/>
      <c r="AL29" s="11"/>
      <c r="AM29" s="11"/>
      <c r="AN29" s="11"/>
      <c r="AO29" s="11"/>
      <c r="AP29" s="11"/>
      <c r="AQ29" s="11"/>
    </row>
    <row r="30" spans="1:43" ht="14.25">
      <c r="A30" s="1">
        <v>45990</v>
      </c>
      <c r="B30" s="15" t="s">
        <v>21</v>
      </c>
      <c r="C30" s="16">
        <v>33</v>
      </c>
      <c r="D30" s="16">
        <v>27</v>
      </c>
      <c r="E30" s="5">
        <v>30</v>
      </c>
      <c r="F30" s="6">
        <f t="shared" si="0"/>
        <v>90</v>
      </c>
      <c r="G30" s="16">
        <v>41</v>
      </c>
      <c r="H30" s="16">
        <v>40</v>
      </c>
      <c r="I30" s="16">
        <v>50</v>
      </c>
      <c r="J30" s="6">
        <f t="shared" si="1"/>
        <v>131</v>
      </c>
      <c r="K30" s="16">
        <v>25</v>
      </c>
      <c r="L30" s="16">
        <v>22</v>
      </c>
      <c r="M30" s="16">
        <v>26</v>
      </c>
      <c r="N30" s="6">
        <f t="shared" si="2"/>
        <v>73</v>
      </c>
      <c r="O30" s="16">
        <v>20</v>
      </c>
      <c r="P30" s="16">
        <v>23</v>
      </c>
      <c r="Q30" s="16">
        <v>25</v>
      </c>
      <c r="R30" s="6">
        <f t="shared" si="3"/>
        <v>68</v>
      </c>
      <c r="S30" s="17">
        <v>1.5</v>
      </c>
      <c r="T30" s="17">
        <v>1</v>
      </c>
      <c r="U30" s="8">
        <v>1</v>
      </c>
      <c r="V30" s="9">
        <f t="shared" si="4"/>
        <v>3.5</v>
      </c>
      <c r="W30" s="6">
        <f t="shared" si="5"/>
        <v>362</v>
      </c>
      <c r="X30" s="14"/>
      <c r="Y30" s="14"/>
      <c r="Z30" s="14"/>
      <c r="AA30" s="14"/>
      <c r="AB30" s="14"/>
      <c r="AC30" s="11"/>
      <c r="AD30" s="11"/>
      <c r="AE30" s="11"/>
      <c r="AF30" s="11"/>
      <c r="AG30" s="11"/>
      <c r="AH30" s="12"/>
      <c r="AI30" s="11"/>
      <c r="AJ30" s="11"/>
      <c r="AK30" s="11"/>
      <c r="AL30" s="11"/>
      <c r="AM30" s="11"/>
      <c r="AN30" s="11"/>
      <c r="AO30" s="11"/>
      <c r="AP30" s="11"/>
      <c r="AQ30" s="11"/>
    </row>
    <row r="31" spans="1:43" ht="14.25">
      <c r="A31" s="1">
        <v>45990</v>
      </c>
      <c r="B31" s="15" t="s">
        <v>34</v>
      </c>
      <c r="C31" s="16">
        <v>51</v>
      </c>
      <c r="D31" s="16">
        <v>45</v>
      </c>
      <c r="E31" s="5">
        <v>43</v>
      </c>
      <c r="F31" s="6">
        <f t="shared" si="0"/>
        <v>139</v>
      </c>
      <c r="G31" s="16">
        <v>67</v>
      </c>
      <c r="H31" s="16">
        <v>78</v>
      </c>
      <c r="I31" s="16">
        <v>73</v>
      </c>
      <c r="J31" s="6">
        <f t="shared" si="1"/>
        <v>218</v>
      </c>
      <c r="K31" s="16">
        <v>39</v>
      </c>
      <c r="L31" s="16">
        <v>35</v>
      </c>
      <c r="M31" s="16">
        <v>40</v>
      </c>
      <c r="N31" s="6">
        <f t="shared" si="2"/>
        <v>114</v>
      </c>
      <c r="O31" s="16">
        <v>35</v>
      </c>
      <c r="P31" s="16">
        <v>55</v>
      </c>
      <c r="Q31" s="16">
        <v>48</v>
      </c>
      <c r="R31" s="6">
        <f t="shared" si="3"/>
        <v>138</v>
      </c>
      <c r="S31" s="17">
        <v>1</v>
      </c>
      <c r="T31" s="17">
        <v>1</v>
      </c>
      <c r="U31" s="17">
        <v>1</v>
      </c>
      <c r="V31" s="9">
        <f t="shared" si="4"/>
        <v>3</v>
      </c>
      <c r="W31" s="6">
        <f t="shared" si="5"/>
        <v>609</v>
      </c>
      <c r="X31" s="10"/>
      <c r="Y31" s="10"/>
      <c r="Z31" s="10"/>
      <c r="AA31" s="10"/>
      <c r="AB31" s="10"/>
      <c r="AC31" s="11"/>
      <c r="AD31" s="11"/>
      <c r="AE31" s="11"/>
      <c r="AF31" s="11"/>
      <c r="AG31" s="11"/>
      <c r="AH31" s="12"/>
      <c r="AI31" s="11"/>
      <c r="AJ31" s="11"/>
      <c r="AK31" s="11"/>
      <c r="AL31" s="11"/>
      <c r="AM31" s="11"/>
      <c r="AN31" s="11"/>
      <c r="AO31" s="11"/>
      <c r="AP31" s="11"/>
      <c r="AQ31" s="11"/>
    </row>
    <row r="32" spans="1:43" ht="14.25">
      <c r="A32" s="1">
        <v>45990</v>
      </c>
      <c r="B32" s="15" t="s">
        <v>22</v>
      </c>
      <c r="C32" s="16">
        <v>25</v>
      </c>
      <c r="D32" s="16">
        <v>23</v>
      </c>
      <c r="E32" s="5">
        <v>22</v>
      </c>
      <c r="F32" s="6">
        <f t="shared" si="0"/>
        <v>70</v>
      </c>
      <c r="G32" s="16">
        <v>30</v>
      </c>
      <c r="H32" s="16">
        <v>31</v>
      </c>
      <c r="I32" s="16">
        <v>30</v>
      </c>
      <c r="J32" s="6">
        <f t="shared" si="1"/>
        <v>91</v>
      </c>
      <c r="K32" s="16">
        <v>22</v>
      </c>
      <c r="L32" s="16">
        <v>24</v>
      </c>
      <c r="M32" s="16">
        <v>22</v>
      </c>
      <c r="N32" s="6">
        <f t="shared" si="2"/>
        <v>68</v>
      </c>
      <c r="O32" s="16">
        <v>25</v>
      </c>
      <c r="P32" s="16">
        <v>25</v>
      </c>
      <c r="Q32" s="16">
        <v>25</v>
      </c>
      <c r="R32" s="6">
        <f t="shared" si="3"/>
        <v>75</v>
      </c>
      <c r="S32" s="17">
        <v>1.5</v>
      </c>
      <c r="T32" s="17">
        <v>1.75</v>
      </c>
      <c r="U32" s="8">
        <v>1.75</v>
      </c>
      <c r="V32" s="9">
        <f t="shared" si="4"/>
        <v>5</v>
      </c>
      <c r="W32" s="6">
        <f t="shared" si="5"/>
        <v>304</v>
      </c>
      <c r="X32" s="10"/>
      <c r="Y32" s="10"/>
      <c r="Z32" s="10"/>
      <c r="AA32" s="10"/>
      <c r="AB32" s="10"/>
      <c r="AC32" s="11"/>
      <c r="AD32" s="11"/>
      <c r="AE32" s="11"/>
      <c r="AF32" s="11"/>
      <c r="AG32" s="11"/>
      <c r="AH32" s="12"/>
      <c r="AI32" s="11"/>
      <c r="AJ32" s="11"/>
      <c r="AK32" s="11"/>
      <c r="AL32" s="11"/>
      <c r="AM32" s="11"/>
      <c r="AN32" s="11"/>
      <c r="AO32" s="11"/>
      <c r="AP32" s="11"/>
      <c r="AQ32" s="11"/>
    </row>
    <row r="33" spans="1:43" ht="14.25">
      <c r="A33" s="1">
        <v>45990</v>
      </c>
      <c r="B33" s="15" t="s">
        <v>35</v>
      </c>
      <c r="C33" s="16">
        <v>38</v>
      </c>
      <c r="D33" s="16">
        <v>26</v>
      </c>
      <c r="E33" s="5">
        <v>25</v>
      </c>
      <c r="F33" s="6">
        <f t="shared" si="0"/>
        <v>89</v>
      </c>
      <c r="G33" s="16">
        <v>45</v>
      </c>
      <c r="H33" s="16">
        <v>46</v>
      </c>
      <c r="I33" s="16">
        <v>31</v>
      </c>
      <c r="J33" s="6">
        <f t="shared" si="1"/>
        <v>122</v>
      </c>
      <c r="K33" s="16">
        <v>35</v>
      </c>
      <c r="L33" s="16">
        <v>25</v>
      </c>
      <c r="M33" s="16">
        <v>21</v>
      </c>
      <c r="N33" s="6">
        <f t="shared" si="2"/>
        <v>81</v>
      </c>
      <c r="O33" s="16">
        <v>20</v>
      </c>
      <c r="P33" s="16">
        <v>26</v>
      </c>
      <c r="Q33" s="16">
        <v>25</v>
      </c>
      <c r="R33" s="6">
        <f t="shared" si="3"/>
        <v>71</v>
      </c>
      <c r="S33" s="17">
        <v>1</v>
      </c>
      <c r="T33" s="8">
        <v>1</v>
      </c>
      <c r="U33" s="8">
        <v>1</v>
      </c>
      <c r="V33" s="9">
        <f t="shared" si="4"/>
        <v>3</v>
      </c>
      <c r="W33" s="6">
        <f t="shared" si="5"/>
        <v>363</v>
      </c>
      <c r="X33" s="10"/>
      <c r="Y33" s="10"/>
      <c r="Z33" s="10"/>
      <c r="AA33" s="10"/>
      <c r="AB33" s="10"/>
      <c r="AC33" s="11"/>
      <c r="AD33" s="11"/>
      <c r="AE33" s="11"/>
      <c r="AF33" s="11"/>
      <c r="AG33" s="11"/>
      <c r="AH33" s="12"/>
      <c r="AI33" s="11"/>
      <c r="AJ33" s="11"/>
      <c r="AK33" s="11"/>
      <c r="AL33" s="11"/>
      <c r="AM33" s="11"/>
      <c r="AN33" s="11"/>
      <c r="AO33" s="11"/>
      <c r="AP33" s="11"/>
      <c r="AQ33" s="11"/>
    </row>
    <row r="34" spans="1:43" ht="14.25">
      <c r="A34" s="1">
        <v>45990</v>
      </c>
      <c r="B34" s="15" t="s">
        <v>27</v>
      </c>
      <c r="C34" s="16">
        <v>26</v>
      </c>
      <c r="D34" s="16">
        <v>26</v>
      </c>
      <c r="E34" s="5">
        <v>26</v>
      </c>
      <c r="F34" s="6">
        <f t="shared" si="0"/>
        <v>78</v>
      </c>
      <c r="G34" s="16">
        <v>61</v>
      </c>
      <c r="H34" s="16">
        <v>56</v>
      </c>
      <c r="I34" s="16">
        <v>57</v>
      </c>
      <c r="J34" s="6">
        <f t="shared" si="1"/>
        <v>174</v>
      </c>
      <c r="K34" s="16">
        <v>21</v>
      </c>
      <c r="L34" s="16">
        <v>22</v>
      </c>
      <c r="M34" s="16">
        <v>24</v>
      </c>
      <c r="N34" s="6">
        <f t="shared" si="2"/>
        <v>67</v>
      </c>
      <c r="O34" s="16">
        <v>48</v>
      </c>
      <c r="P34" s="16">
        <v>19</v>
      </c>
      <c r="Q34" s="16">
        <v>21</v>
      </c>
      <c r="R34" s="6">
        <f t="shared" si="3"/>
        <v>88</v>
      </c>
      <c r="S34" s="16">
        <v>1.25</v>
      </c>
      <c r="T34" s="17">
        <v>1</v>
      </c>
      <c r="U34" s="8">
        <v>1</v>
      </c>
      <c r="V34" s="13">
        <f t="shared" si="4"/>
        <v>3.25</v>
      </c>
      <c r="W34" s="6">
        <f t="shared" si="5"/>
        <v>407</v>
      </c>
      <c r="X34" s="10"/>
      <c r="Y34" s="10"/>
      <c r="Z34" s="10"/>
      <c r="AA34" s="10"/>
      <c r="AB34" s="10"/>
      <c r="AC34" s="11"/>
      <c r="AD34" s="11"/>
      <c r="AE34" s="11"/>
      <c r="AF34" s="11"/>
      <c r="AG34" s="11"/>
      <c r="AH34" s="12"/>
      <c r="AI34" s="11"/>
      <c r="AJ34" s="11"/>
      <c r="AK34" s="11"/>
      <c r="AL34" s="11"/>
      <c r="AM34" s="11"/>
      <c r="AN34" s="11"/>
      <c r="AO34" s="11"/>
      <c r="AP34" s="11"/>
      <c r="AQ34" s="11"/>
    </row>
    <row r="35" spans="1:43" ht="14.25">
      <c r="A35" s="1">
        <v>45990</v>
      </c>
      <c r="B35" s="15" t="s">
        <v>28</v>
      </c>
      <c r="C35" s="16">
        <v>36</v>
      </c>
      <c r="D35" s="16">
        <v>23</v>
      </c>
      <c r="E35" s="5">
        <v>23</v>
      </c>
      <c r="F35" s="6">
        <f t="shared" si="0"/>
        <v>82</v>
      </c>
      <c r="G35" s="16">
        <v>65</v>
      </c>
      <c r="H35" s="16">
        <v>60</v>
      </c>
      <c r="I35" s="16">
        <v>53</v>
      </c>
      <c r="J35" s="6">
        <f t="shared" si="1"/>
        <v>178</v>
      </c>
      <c r="K35" s="16">
        <v>27</v>
      </c>
      <c r="L35" s="16">
        <v>24</v>
      </c>
      <c r="M35" s="16">
        <v>22</v>
      </c>
      <c r="N35" s="6">
        <f t="shared" si="2"/>
        <v>73</v>
      </c>
      <c r="O35" s="16">
        <v>40</v>
      </c>
      <c r="P35" s="16">
        <v>29</v>
      </c>
      <c r="Q35" s="16">
        <v>35</v>
      </c>
      <c r="R35" s="6">
        <f t="shared" si="3"/>
        <v>104</v>
      </c>
      <c r="S35" s="17">
        <v>1.5</v>
      </c>
      <c r="T35" s="16">
        <v>1.25</v>
      </c>
      <c r="U35" s="8">
        <v>1.25</v>
      </c>
      <c r="V35" s="9">
        <f t="shared" si="4"/>
        <v>4</v>
      </c>
      <c r="W35" s="6">
        <f t="shared" si="5"/>
        <v>437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2"/>
      <c r="AI35" s="11"/>
      <c r="AJ35" s="11"/>
      <c r="AK35" s="11"/>
      <c r="AL35" s="11"/>
      <c r="AM35" s="11"/>
      <c r="AN35" s="11"/>
      <c r="AO35" s="11"/>
      <c r="AP35" s="11"/>
      <c r="AQ35" s="11"/>
    </row>
    <row r="36" spans="1:43" ht="12.75">
      <c r="A36" s="1">
        <v>46102</v>
      </c>
      <c r="B36" s="13" t="s">
        <v>15</v>
      </c>
      <c r="C36" s="13">
        <v>27</v>
      </c>
      <c r="D36" s="13">
        <v>27</v>
      </c>
      <c r="E36" s="13">
        <v>21</v>
      </c>
      <c r="F36" s="6">
        <f t="shared" si="0"/>
        <v>75</v>
      </c>
      <c r="G36" s="13">
        <v>53</v>
      </c>
      <c r="H36" s="13">
        <v>42</v>
      </c>
      <c r="I36" s="13">
        <v>45</v>
      </c>
      <c r="J36" s="6">
        <f t="shared" si="1"/>
        <v>140</v>
      </c>
      <c r="K36" s="13">
        <v>26</v>
      </c>
      <c r="L36" s="13">
        <v>25</v>
      </c>
      <c r="M36" s="13">
        <v>26</v>
      </c>
      <c r="N36" s="6">
        <f t="shared" si="2"/>
        <v>77</v>
      </c>
      <c r="O36" s="13">
        <v>38</v>
      </c>
      <c r="P36" s="13">
        <v>30</v>
      </c>
      <c r="Q36" s="13">
        <v>30</v>
      </c>
      <c r="R36" s="6">
        <f t="shared" si="3"/>
        <v>98</v>
      </c>
      <c r="S36" s="9">
        <v>1</v>
      </c>
      <c r="T36" s="9">
        <v>1</v>
      </c>
      <c r="U36" s="13">
        <v>1.25</v>
      </c>
      <c r="V36" s="9">
        <f t="shared" si="4"/>
        <v>3.25</v>
      </c>
      <c r="W36" s="6">
        <f t="shared" si="5"/>
        <v>390</v>
      </c>
    </row>
    <row r="37" spans="1:43" ht="14.25">
      <c r="A37" s="1">
        <v>46102</v>
      </c>
      <c r="B37" s="15" t="s">
        <v>21</v>
      </c>
      <c r="C37" s="16">
        <v>32</v>
      </c>
      <c r="D37" s="16">
        <v>25</v>
      </c>
      <c r="E37" s="5">
        <v>24</v>
      </c>
      <c r="F37" s="6">
        <f t="shared" si="0"/>
        <v>81</v>
      </c>
      <c r="G37" s="16">
        <v>45</v>
      </c>
      <c r="H37" s="16">
        <v>48</v>
      </c>
      <c r="I37" s="16">
        <v>45</v>
      </c>
      <c r="J37" s="6">
        <f t="shared" si="1"/>
        <v>138</v>
      </c>
      <c r="K37" s="16">
        <v>27</v>
      </c>
      <c r="L37" s="16">
        <v>30</v>
      </c>
      <c r="M37" s="16">
        <v>25</v>
      </c>
      <c r="N37" s="6">
        <f t="shared" si="2"/>
        <v>82</v>
      </c>
      <c r="O37" s="16">
        <v>26</v>
      </c>
      <c r="P37" s="16">
        <v>30</v>
      </c>
      <c r="Q37" s="16">
        <v>27</v>
      </c>
      <c r="R37" s="6">
        <f t="shared" si="3"/>
        <v>83</v>
      </c>
      <c r="S37" s="17">
        <v>1.25</v>
      </c>
      <c r="T37" s="16">
        <v>1.25</v>
      </c>
      <c r="U37" s="8">
        <v>1.25</v>
      </c>
      <c r="V37" s="9">
        <f t="shared" si="4"/>
        <v>3.75</v>
      </c>
      <c r="W37" s="6">
        <f t="shared" si="5"/>
        <v>384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2"/>
      <c r="AI37" s="11"/>
      <c r="AJ37" s="11"/>
      <c r="AK37" s="11"/>
      <c r="AL37" s="11"/>
      <c r="AM37" s="11"/>
      <c r="AN37" s="11"/>
      <c r="AO37" s="11"/>
      <c r="AP37" s="11"/>
      <c r="AQ37" s="11"/>
    </row>
    <row r="38" spans="1:43" ht="14.25">
      <c r="A38" s="1">
        <v>46102</v>
      </c>
      <c r="B38" s="15" t="s">
        <v>12</v>
      </c>
      <c r="C38" s="16">
        <v>40</v>
      </c>
      <c r="D38" s="16">
        <v>30</v>
      </c>
      <c r="E38" s="5">
        <v>26</v>
      </c>
      <c r="F38" s="6">
        <f t="shared" si="0"/>
        <v>96</v>
      </c>
      <c r="G38" s="16">
        <v>82</v>
      </c>
      <c r="H38" s="16">
        <v>81</v>
      </c>
      <c r="I38" s="16">
        <v>81</v>
      </c>
      <c r="J38" s="6">
        <f t="shared" si="1"/>
        <v>244</v>
      </c>
      <c r="K38" s="16">
        <v>37</v>
      </c>
      <c r="L38" s="16">
        <v>32</v>
      </c>
      <c r="M38" s="16">
        <v>26</v>
      </c>
      <c r="N38" s="6">
        <f t="shared" si="2"/>
        <v>95</v>
      </c>
      <c r="O38" s="16">
        <v>40</v>
      </c>
      <c r="P38" s="16">
        <v>29</v>
      </c>
      <c r="Q38" s="16">
        <v>27</v>
      </c>
      <c r="R38" s="6">
        <f t="shared" si="3"/>
        <v>96</v>
      </c>
      <c r="S38" s="16">
        <v>1.25</v>
      </c>
      <c r="T38" s="17">
        <v>1</v>
      </c>
      <c r="U38" s="8">
        <v>1.25</v>
      </c>
      <c r="V38" s="13">
        <f t="shared" si="4"/>
        <v>3.5</v>
      </c>
      <c r="W38" s="6">
        <f t="shared" si="5"/>
        <v>531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2"/>
      <c r="AI38" s="11"/>
      <c r="AJ38" s="11"/>
      <c r="AK38" s="11"/>
      <c r="AL38" s="11"/>
      <c r="AM38" s="11"/>
      <c r="AN38" s="11"/>
      <c r="AO38" s="11"/>
      <c r="AP38" s="11"/>
      <c r="AQ38" s="11"/>
    </row>
    <row r="39" spans="1:43" ht="14.25">
      <c r="A39" s="1">
        <v>46102</v>
      </c>
      <c r="B39" s="15" t="s">
        <v>36</v>
      </c>
      <c r="C39" s="16">
        <v>31</v>
      </c>
      <c r="D39" s="16">
        <v>24</v>
      </c>
      <c r="E39" s="5">
        <v>20</v>
      </c>
      <c r="F39" s="6">
        <f t="shared" si="0"/>
        <v>75</v>
      </c>
      <c r="G39" s="16">
        <v>71</v>
      </c>
      <c r="H39" s="16">
        <v>70</v>
      </c>
      <c r="I39" s="16">
        <v>59</v>
      </c>
      <c r="J39" s="6">
        <f t="shared" si="1"/>
        <v>200</v>
      </c>
      <c r="K39" s="16">
        <v>35</v>
      </c>
      <c r="L39" s="16">
        <v>28</v>
      </c>
      <c r="M39" s="16">
        <v>30</v>
      </c>
      <c r="N39" s="6">
        <f t="shared" si="2"/>
        <v>93</v>
      </c>
      <c r="O39" s="16">
        <v>49</v>
      </c>
      <c r="P39" s="16">
        <v>46</v>
      </c>
      <c r="Q39" s="16">
        <v>45</v>
      </c>
      <c r="R39" s="6">
        <f t="shared" si="3"/>
        <v>140</v>
      </c>
      <c r="S39" s="17">
        <v>1.5</v>
      </c>
      <c r="T39" s="16">
        <v>1.25</v>
      </c>
      <c r="U39" s="8">
        <v>1.25</v>
      </c>
      <c r="V39" s="9">
        <f t="shared" si="4"/>
        <v>4</v>
      </c>
      <c r="W39" s="6">
        <f t="shared" si="5"/>
        <v>508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2"/>
      <c r="AI39" s="11"/>
      <c r="AJ39" s="11"/>
      <c r="AK39" s="11"/>
      <c r="AL39" s="11"/>
      <c r="AM39" s="11"/>
      <c r="AN39" s="11"/>
      <c r="AO39" s="11"/>
      <c r="AP39" s="11"/>
      <c r="AQ39" s="11"/>
    </row>
    <row r="40" spans="1:43" ht="14.25">
      <c r="A40" s="1">
        <v>46102</v>
      </c>
      <c r="B40" s="15" t="s">
        <v>17</v>
      </c>
      <c r="C40" s="16">
        <v>30</v>
      </c>
      <c r="D40" s="16">
        <v>24</v>
      </c>
      <c r="E40" s="5">
        <v>24</v>
      </c>
      <c r="F40" s="6">
        <f t="shared" si="0"/>
        <v>78</v>
      </c>
      <c r="G40" s="16">
        <v>59</v>
      </c>
      <c r="H40" s="16">
        <v>50</v>
      </c>
      <c r="I40" s="16">
        <v>53</v>
      </c>
      <c r="J40" s="6">
        <f t="shared" si="1"/>
        <v>162</v>
      </c>
      <c r="K40" s="16">
        <v>25</v>
      </c>
      <c r="L40" s="16">
        <v>21</v>
      </c>
      <c r="M40" s="16">
        <v>21</v>
      </c>
      <c r="N40" s="6">
        <f t="shared" si="2"/>
        <v>67</v>
      </c>
      <c r="O40" s="16">
        <v>30</v>
      </c>
      <c r="P40" s="16">
        <v>25</v>
      </c>
      <c r="Q40" s="16">
        <v>28</v>
      </c>
      <c r="R40" s="6">
        <f t="shared" si="3"/>
        <v>83</v>
      </c>
      <c r="S40" s="17">
        <v>1.5</v>
      </c>
      <c r="T40" s="17">
        <v>1.25</v>
      </c>
      <c r="U40" s="8">
        <v>1.25</v>
      </c>
      <c r="V40" s="9">
        <f t="shared" si="4"/>
        <v>4</v>
      </c>
      <c r="W40" s="6">
        <f t="shared" si="5"/>
        <v>390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2"/>
      <c r="AI40" s="11"/>
      <c r="AJ40" s="11"/>
      <c r="AK40" s="11"/>
      <c r="AL40" s="11"/>
      <c r="AM40" s="11"/>
      <c r="AN40" s="11"/>
      <c r="AO40" s="11"/>
      <c r="AP40" s="11"/>
      <c r="AQ40" s="11"/>
    </row>
    <row r="41" spans="1:43" ht="14.25">
      <c r="A41" s="1">
        <v>46102</v>
      </c>
      <c r="B41" s="15" t="s">
        <v>37</v>
      </c>
      <c r="C41" s="16">
        <v>25</v>
      </c>
      <c r="D41" s="16">
        <v>15</v>
      </c>
      <c r="E41" s="5">
        <v>16</v>
      </c>
      <c r="F41" s="6">
        <f t="shared" si="0"/>
        <v>56</v>
      </c>
      <c r="G41" s="16">
        <v>38</v>
      </c>
      <c r="H41" s="16">
        <v>40</v>
      </c>
      <c r="I41" s="16">
        <v>40</v>
      </c>
      <c r="J41" s="6">
        <f t="shared" si="1"/>
        <v>118</v>
      </c>
      <c r="K41" s="16">
        <v>23</v>
      </c>
      <c r="L41" s="16">
        <v>21</v>
      </c>
      <c r="M41" s="16">
        <v>14</v>
      </c>
      <c r="N41" s="6">
        <f t="shared" si="2"/>
        <v>58</v>
      </c>
      <c r="O41" s="16">
        <v>39</v>
      </c>
      <c r="P41" s="16">
        <v>30</v>
      </c>
      <c r="Q41" s="16">
        <v>20</v>
      </c>
      <c r="R41" s="6">
        <f t="shared" si="3"/>
        <v>89</v>
      </c>
      <c r="S41" s="17">
        <v>1</v>
      </c>
      <c r="T41" s="16">
        <v>1.25</v>
      </c>
      <c r="U41" s="8">
        <v>1</v>
      </c>
      <c r="V41" s="9">
        <f t="shared" si="4"/>
        <v>3.25</v>
      </c>
      <c r="W41" s="6">
        <f t="shared" si="5"/>
        <v>321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2"/>
      <c r="AI41" s="11"/>
      <c r="AJ41" s="11"/>
      <c r="AK41" s="11"/>
      <c r="AL41" s="11"/>
      <c r="AM41" s="11"/>
      <c r="AN41" s="11"/>
      <c r="AO41" s="11"/>
      <c r="AP41" s="11"/>
      <c r="AQ41" s="11"/>
    </row>
    <row r="42" spans="1:43" ht="14.25">
      <c r="A42" s="1">
        <v>46102</v>
      </c>
      <c r="B42" s="15" t="s">
        <v>35</v>
      </c>
      <c r="C42" s="16">
        <v>35</v>
      </c>
      <c r="D42" s="16">
        <v>25</v>
      </c>
      <c r="E42" s="5">
        <v>18</v>
      </c>
      <c r="F42" s="6">
        <f t="shared" si="0"/>
        <v>78</v>
      </c>
      <c r="G42" s="16">
        <v>25</v>
      </c>
      <c r="H42" s="16">
        <v>35</v>
      </c>
      <c r="I42" s="16">
        <v>35</v>
      </c>
      <c r="J42" s="6">
        <f t="shared" si="1"/>
        <v>95</v>
      </c>
      <c r="K42" s="16">
        <v>30</v>
      </c>
      <c r="L42" s="16">
        <v>25</v>
      </c>
      <c r="M42" s="16">
        <v>23</v>
      </c>
      <c r="N42" s="6">
        <f t="shared" si="2"/>
        <v>78</v>
      </c>
      <c r="O42" s="16">
        <v>31</v>
      </c>
      <c r="P42" s="16">
        <v>26</v>
      </c>
      <c r="Q42" s="16">
        <v>28</v>
      </c>
      <c r="R42" s="6">
        <f t="shared" si="3"/>
        <v>85</v>
      </c>
      <c r="S42" s="17">
        <v>1</v>
      </c>
      <c r="T42" s="17">
        <v>1</v>
      </c>
      <c r="U42" s="8">
        <v>1</v>
      </c>
      <c r="V42" s="9">
        <f t="shared" si="4"/>
        <v>3</v>
      </c>
      <c r="W42" s="6">
        <f t="shared" si="5"/>
        <v>336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2"/>
      <c r="AI42" s="11"/>
      <c r="AJ42" s="11"/>
      <c r="AK42" s="11"/>
      <c r="AL42" s="11"/>
      <c r="AM42" s="11"/>
      <c r="AN42" s="11"/>
      <c r="AO42" s="11"/>
      <c r="AP42" s="11"/>
      <c r="AQ42" s="11"/>
    </row>
    <row r="43" spans="1:43" ht="12.75">
      <c r="A43" s="1">
        <v>46102</v>
      </c>
      <c r="B43" s="13" t="s">
        <v>38</v>
      </c>
      <c r="C43" s="13">
        <v>34</v>
      </c>
      <c r="D43" s="13">
        <v>27</v>
      </c>
      <c r="E43" s="13">
        <v>24</v>
      </c>
      <c r="F43" s="6">
        <f t="shared" si="0"/>
        <v>85</v>
      </c>
      <c r="G43" s="13">
        <v>55</v>
      </c>
      <c r="H43" s="13">
        <v>52</v>
      </c>
      <c r="I43" s="13">
        <v>52</v>
      </c>
      <c r="J43" s="6">
        <f t="shared" si="1"/>
        <v>159</v>
      </c>
      <c r="K43" s="13">
        <v>27</v>
      </c>
      <c r="L43" s="13">
        <v>24</v>
      </c>
      <c r="M43" s="13">
        <v>21</v>
      </c>
      <c r="N43" s="6">
        <f t="shared" si="2"/>
        <v>72</v>
      </c>
      <c r="O43" s="13">
        <v>41</v>
      </c>
      <c r="P43" s="13">
        <v>34</v>
      </c>
      <c r="Q43" s="13">
        <v>28</v>
      </c>
      <c r="R43" s="6">
        <f t="shared" si="3"/>
        <v>103</v>
      </c>
      <c r="S43" s="9">
        <v>1.5</v>
      </c>
      <c r="T43" s="13">
        <v>1.25</v>
      </c>
      <c r="U43" s="13">
        <v>1.25</v>
      </c>
      <c r="V43" s="9">
        <f t="shared" si="4"/>
        <v>4</v>
      </c>
      <c r="W43" s="6">
        <f t="shared" si="5"/>
        <v>419</v>
      </c>
    </row>
    <row r="44" spans="1:43" ht="14.25">
      <c r="A44" s="1">
        <v>46102</v>
      </c>
      <c r="B44" s="15" t="s">
        <v>28</v>
      </c>
      <c r="C44" s="13">
        <v>40</v>
      </c>
      <c r="D44" s="13">
        <v>26</v>
      </c>
      <c r="E44" s="13">
        <v>23</v>
      </c>
      <c r="F44" s="6">
        <f t="shared" si="0"/>
        <v>89</v>
      </c>
      <c r="G44" s="13">
        <v>70</v>
      </c>
      <c r="H44" s="13">
        <v>55</v>
      </c>
      <c r="I44" s="13">
        <v>60</v>
      </c>
      <c r="J44" s="6">
        <f t="shared" si="1"/>
        <v>185</v>
      </c>
      <c r="K44" s="13">
        <v>31</v>
      </c>
      <c r="L44" s="13">
        <v>25</v>
      </c>
      <c r="M44" s="13">
        <v>23</v>
      </c>
      <c r="N44" s="6">
        <f t="shared" si="2"/>
        <v>79</v>
      </c>
      <c r="O44" s="13">
        <v>44</v>
      </c>
      <c r="P44" s="13">
        <v>34</v>
      </c>
      <c r="Q44" s="13">
        <v>38</v>
      </c>
      <c r="R44" s="6">
        <f t="shared" si="3"/>
        <v>116</v>
      </c>
      <c r="S44" s="9">
        <v>1.5</v>
      </c>
      <c r="T44" s="13">
        <v>1.25</v>
      </c>
      <c r="U44" s="13">
        <v>1.5</v>
      </c>
      <c r="V44" s="9">
        <f t="shared" si="4"/>
        <v>4.25</v>
      </c>
      <c r="W44" s="6">
        <f t="shared" si="5"/>
        <v>469</v>
      </c>
    </row>
    <row r="45" spans="1:43" ht="14.25">
      <c r="A45" s="1">
        <v>46102</v>
      </c>
      <c r="B45" s="15" t="s">
        <v>27</v>
      </c>
      <c r="C45" s="13">
        <v>29</v>
      </c>
      <c r="D45" s="13">
        <v>21</v>
      </c>
      <c r="E45" s="13">
        <v>16</v>
      </c>
      <c r="F45" s="6">
        <f t="shared" si="0"/>
        <v>66</v>
      </c>
      <c r="G45" s="13">
        <v>48</v>
      </c>
      <c r="H45" s="13">
        <v>50</v>
      </c>
      <c r="I45" s="13">
        <v>54</v>
      </c>
      <c r="J45" s="6">
        <f t="shared" si="1"/>
        <v>152</v>
      </c>
      <c r="K45" s="13">
        <v>33</v>
      </c>
      <c r="L45" s="13">
        <v>28</v>
      </c>
      <c r="M45" s="13">
        <v>20</v>
      </c>
      <c r="N45" s="6">
        <f t="shared" si="2"/>
        <v>81</v>
      </c>
      <c r="O45" s="13">
        <v>27</v>
      </c>
      <c r="P45" s="13">
        <v>20</v>
      </c>
      <c r="Q45" s="13">
        <v>16</v>
      </c>
      <c r="R45" s="6">
        <f t="shared" si="3"/>
        <v>63</v>
      </c>
      <c r="S45" s="13">
        <v>1.25</v>
      </c>
      <c r="T45" s="13">
        <v>0.75</v>
      </c>
      <c r="U45" s="9">
        <v>1</v>
      </c>
      <c r="V45" s="13">
        <f t="shared" si="4"/>
        <v>3</v>
      </c>
      <c r="W45" s="6">
        <f t="shared" si="5"/>
        <v>362</v>
      </c>
    </row>
    <row r="46" spans="1:43" ht="14.25">
      <c r="A46" s="1">
        <v>46102</v>
      </c>
      <c r="B46" s="15" t="s">
        <v>39</v>
      </c>
      <c r="C46" s="13">
        <v>31</v>
      </c>
      <c r="D46" s="13">
        <v>26</v>
      </c>
      <c r="E46" s="13">
        <v>25</v>
      </c>
      <c r="F46" s="6">
        <f t="shared" si="0"/>
        <v>82</v>
      </c>
      <c r="G46" s="13">
        <v>74</v>
      </c>
      <c r="H46" s="13">
        <v>80</v>
      </c>
      <c r="I46" s="13">
        <v>84</v>
      </c>
      <c r="J46" s="6">
        <f t="shared" si="1"/>
        <v>238</v>
      </c>
      <c r="K46" s="13">
        <v>29</v>
      </c>
      <c r="L46" s="13">
        <v>31</v>
      </c>
      <c r="M46" s="13">
        <v>29</v>
      </c>
      <c r="N46" s="6">
        <f t="shared" si="2"/>
        <v>89</v>
      </c>
      <c r="O46" s="13">
        <v>20</v>
      </c>
      <c r="P46" s="13">
        <v>16</v>
      </c>
      <c r="Q46" s="13">
        <v>16</v>
      </c>
      <c r="R46" s="6">
        <f t="shared" si="3"/>
        <v>52</v>
      </c>
      <c r="S46" s="9">
        <v>1.5</v>
      </c>
      <c r="T46" s="9">
        <v>1.5</v>
      </c>
      <c r="U46" s="13">
        <v>1.75</v>
      </c>
      <c r="V46" s="9">
        <f t="shared" si="4"/>
        <v>4.75</v>
      </c>
      <c r="W46" s="6">
        <f t="shared" si="5"/>
        <v>461</v>
      </c>
    </row>
    <row r="47" spans="1:43" ht="14.25">
      <c r="A47" s="1">
        <v>46102</v>
      </c>
      <c r="B47" s="15" t="s">
        <v>40</v>
      </c>
      <c r="C47" s="13">
        <v>30</v>
      </c>
      <c r="D47" s="13">
        <v>23</v>
      </c>
      <c r="E47" s="13">
        <v>15</v>
      </c>
      <c r="F47" s="6">
        <f t="shared" si="0"/>
        <v>68</v>
      </c>
      <c r="G47" s="13">
        <v>60</v>
      </c>
      <c r="H47" s="13">
        <v>61</v>
      </c>
      <c r="I47" s="13">
        <v>65</v>
      </c>
      <c r="J47" s="6">
        <f t="shared" si="1"/>
        <v>186</v>
      </c>
      <c r="K47" s="13">
        <v>25</v>
      </c>
      <c r="L47" s="13">
        <v>21</v>
      </c>
      <c r="M47" s="13">
        <v>15</v>
      </c>
      <c r="N47" s="6">
        <f t="shared" si="2"/>
        <v>61</v>
      </c>
      <c r="O47" s="13">
        <v>31</v>
      </c>
      <c r="P47" s="13">
        <v>20</v>
      </c>
      <c r="Q47" s="13">
        <v>28</v>
      </c>
      <c r="R47" s="6">
        <f t="shared" si="3"/>
        <v>79</v>
      </c>
      <c r="S47" s="13">
        <v>1.25</v>
      </c>
      <c r="T47" s="9">
        <v>1</v>
      </c>
      <c r="U47" s="9">
        <v>1</v>
      </c>
      <c r="V47" s="13">
        <f t="shared" si="4"/>
        <v>3.25</v>
      </c>
      <c r="W47" s="6">
        <f t="shared" si="5"/>
        <v>394</v>
      </c>
    </row>
    <row r="48" spans="1:43" ht="14.25">
      <c r="A48" s="1">
        <v>46102</v>
      </c>
      <c r="B48" s="15" t="s">
        <v>30</v>
      </c>
      <c r="C48" s="13">
        <v>47</v>
      </c>
      <c r="D48" s="13">
        <v>30</v>
      </c>
      <c r="E48" s="13">
        <v>31</v>
      </c>
      <c r="F48" s="6">
        <f t="shared" si="0"/>
        <v>108</v>
      </c>
      <c r="G48" s="13">
        <v>97</v>
      </c>
      <c r="H48" s="13">
        <v>94</v>
      </c>
      <c r="I48" s="13">
        <v>100</v>
      </c>
      <c r="J48" s="6">
        <f t="shared" si="1"/>
        <v>291</v>
      </c>
      <c r="K48" s="13">
        <v>35</v>
      </c>
      <c r="L48" s="13">
        <v>29</v>
      </c>
      <c r="M48" s="13">
        <v>23</v>
      </c>
      <c r="N48" s="6">
        <f t="shared" si="2"/>
        <v>87</v>
      </c>
      <c r="O48" s="13">
        <v>63</v>
      </c>
      <c r="P48" s="13">
        <v>45</v>
      </c>
      <c r="Q48" s="13">
        <v>35</v>
      </c>
      <c r="R48" s="6">
        <f t="shared" si="3"/>
        <v>143</v>
      </c>
      <c r="S48" s="13">
        <v>1.75</v>
      </c>
      <c r="T48" s="9">
        <v>1.5</v>
      </c>
      <c r="U48" s="9">
        <v>1.5</v>
      </c>
      <c r="V48" s="13">
        <f t="shared" si="4"/>
        <v>4.75</v>
      </c>
      <c r="W48" s="6">
        <f t="shared" si="5"/>
        <v>629</v>
      </c>
    </row>
    <row r="49" spans="1:43" ht="14.25">
      <c r="A49" s="1">
        <v>46102</v>
      </c>
      <c r="B49" s="15" t="s">
        <v>41</v>
      </c>
      <c r="C49" s="13">
        <v>28</v>
      </c>
      <c r="D49" s="13">
        <v>22</v>
      </c>
      <c r="E49" s="13">
        <v>21</v>
      </c>
      <c r="F49" s="6">
        <f t="shared" si="0"/>
        <v>71</v>
      </c>
      <c r="G49" s="13">
        <v>65</v>
      </c>
      <c r="H49" s="13">
        <v>74</v>
      </c>
      <c r="I49" s="13">
        <v>56</v>
      </c>
      <c r="J49" s="6">
        <f t="shared" si="1"/>
        <v>195</v>
      </c>
      <c r="K49" s="13">
        <v>26</v>
      </c>
      <c r="L49" s="13">
        <v>21</v>
      </c>
      <c r="M49" s="13">
        <v>21</v>
      </c>
      <c r="N49" s="6">
        <f t="shared" si="2"/>
        <v>68</v>
      </c>
      <c r="O49" s="13">
        <v>26</v>
      </c>
      <c r="P49" s="13">
        <v>20</v>
      </c>
      <c r="Q49" s="13">
        <v>21</v>
      </c>
      <c r="R49" s="6">
        <f t="shared" si="3"/>
        <v>67</v>
      </c>
      <c r="S49" s="9">
        <v>1.5</v>
      </c>
      <c r="T49" s="9">
        <v>1</v>
      </c>
      <c r="U49" s="9">
        <v>1</v>
      </c>
      <c r="V49" s="9">
        <f t="shared" si="4"/>
        <v>3.5</v>
      </c>
      <c r="W49" s="6">
        <f t="shared" si="5"/>
        <v>401</v>
      </c>
    </row>
    <row r="50" spans="1:43" ht="14.25">
      <c r="A50" s="1">
        <v>46102</v>
      </c>
      <c r="B50" s="15" t="s">
        <v>33</v>
      </c>
      <c r="C50" s="13">
        <v>15</v>
      </c>
      <c r="D50" s="13">
        <v>10</v>
      </c>
      <c r="E50" s="13">
        <v>10</v>
      </c>
      <c r="F50" s="6">
        <f t="shared" si="0"/>
        <v>35</v>
      </c>
      <c r="G50" s="13">
        <v>39</v>
      </c>
      <c r="H50" s="13">
        <v>38</v>
      </c>
      <c r="I50" s="13">
        <v>25</v>
      </c>
      <c r="J50" s="6">
        <f t="shared" si="1"/>
        <v>102</v>
      </c>
      <c r="K50" s="13">
        <v>40</v>
      </c>
      <c r="L50" s="13">
        <v>30</v>
      </c>
      <c r="M50" s="13">
        <v>30</v>
      </c>
      <c r="N50" s="6">
        <f t="shared" si="2"/>
        <v>100</v>
      </c>
      <c r="O50" s="13">
        <v>18</v>
      </c>
      <c r="P50" s="13">
        <v>15</v>
      </c>
      <c r="Q50" s="13">
        <v>15</v>
      </c>
      <c r="R50" s="6">
        <f t="shared" si="3"/>
        <v>48</v>
      </c>
      <c r="S50" s="13">
        <v>0.75</v>
      </c>
      <c r="T50" s="9">
        <v>0.5</v>
      </c>
      <c r="U50" s="9">
        <v>0.5</v>
      </c>
      <c r="V50" s="13">
        <f t="shared" si="4"/>
        <v>1.75</v>
      </c>
      <c r="W50" s="6">
        <f t="shared" si="5"/>
        <v>285</v>
      </c>
    </row>
    <row r="51" spans="1:43" ht="14.25">
      <c r="A51" s="1">
        <v>46102</v>
      </c>
      <c r="B51" s="15" t="s">
        <v>25</v>
      </c>
      <c r="C51" s="13">
        <v>31</v>
      </c>
      <c r="D51" s="13">
        <v>23</v>
      </c>
      <c r="E51" s="13">
        <v>20</v>
      </c>
      <c r="F51" s="6">
        <f t="shared" si="0"/>
        <v>74</v>
      </c>
      <c r="G51" s="13">
        <v>50</v>
      </c>
      <c r="H51" s="13">
        <v>46</v>
      </c>
      <c r="I51" s="13">
        <v>40</v>
      </c>
      <c r="J51" s="6">
        <f t="shared" si="1"/>
        <v>136</v>
      </c>
      <c r="K51" s="13">
        <v>28</v>
      </c>
      <c r="L51" s="13">
        <v>27</v>
      </c>
      <c r="M51" s="13">
        <v>25</v>
      </c>
      <c r="N51" s="6">
        <f t="shared" si="2"/>
        <v>80</v>
      </c>
      <c r="O51" s="13">
        <v>49</v>
      </c>
      <c r="P51" s="13">
        <v>33</v>
      </c>
      <c r="Q51" s="13">
        <v>30</v>
      </c>
      <c r="R51" s="6">
        <f t="shared" si="3"/>
        <v>112</v>
      </c>
      <c r="S51" s="13">
        <v>1.25</v>
      </c>
      <c r="T51" s="13">
        <v>1.25</v>
      </c>
      <c r="U51" s="9">
        <v>1.5</v>
      </c>
      <c r="V51" s="13">
        <f t="shared" si="4"/>
        <v>4</v>
      </c>
      <c r="W51" s="6">
        <f t="shared" si="5"/>
        <v>402</v>
      </c>
    </row>
    <row r="52" spans="1:43" ht="14.25">
      <c r="A52" s="1">
        <v>46102</v>
      </c>
      <c r="B52" s="15" t="s">
        <v>29</v>
      </c>
      <c r="C52" s="13">
        <v>23</v>
      </c>
      <c r="D52" s="13">
        <v>17</v>
      </c>
      <c r="E52" s="13">
        <v>16</v>
      </c>
      <c r="F52" s="6">
        <f t="shared" si="0"/>
        <v>56</v>
      </c>
      <c r="G52" s="13">
        <v>70</v>
      </c>
      <c r="H52" s="13">
        <v>47</v>
      </c>
      <c r="I52" s="13">
        <v>71</v>
      </c>
      <c r="J52" s="6">
        <f t="shared" si="1"/>
        <v>188</v>
      </c>
      <c r="K52" s="13">
        <v>20</v>
      </c>
      <c r="L52" s="13">
        <v>23</v>
      </c>
      <c r="M52" s="13">
        <v>22</v>
      </c>
      <c r="N52" s="6">
        <f t="shared" si="2"/>
        <v>65</v>
      </c>
      <c r="O52" s="13">
        <v>25</v>
      </c>
      <c r="P52" s="13">
        <v>28</v>
      </c>
      <c r="Q52" s="13">
        <v>26</v>
      </c>
      <c r="R52" s="6">
        <f t="shared" si="3"/>
        <v>79</v>
      </c>
      <c r="S52" s="13">
        <v>1.25</v>
      </c>
      <c r="T52" s="13">
        <v>1.25</v>
      </c>
      <c r="U52" s="13">
        <v>1.25</v>
      </c>
      <c r="V52" s="13">
        <f t="shared" si="4"/>
        <v>3.75</v>
      </c>
      <c r="W52" s="6">
        <f t="shared" si="5"/>
        <v>388</v>
      </c>
    </row>
    <row r="53" spans="1:43" ht="14.25">
      <c r="A53" s="1">
        <v>46102</v>
      </c>
      <c r="B53" s="15" t="s">
        <v>31</v>
      </c>
      <c r="C53" s="13">
        <v>34</v>
      </c>
      <c r="D53" s="13">
        <v>30</v>
      </c>
      <c r="E53" s="13">
        <v>26</v>
      </c>
      <c r="F53" s="6">
        <f t="shared" si="0"/>
        <v>90</v>
      </c>
      <c r="G53" s="13">
        <v>61</v>
      </c>
      <c r="H53" s="13">
        <v>51</v>
      </c>
      <c r="I53" s="13">
        <v>55</v>
      </c>
      <c r="J53" s="6">
        <f t="shared" si="1"/>
        <v>167</v>
      </c>
      <c r="K53" s="13">
        <v>50</v>
      </c>
      <c r="L53" s="13">
        <v>55</v>
      </c>
      <c r="M53" s="13">
        <v>45</v>
      </c>
      <c r="N53" s="6">
        <f t="shared" si="2"/>
        <v>150</v>
      </c>
      <c r="O53" s="13">
        <v>35</v>
      </c>
      <c r="P53" s="13">
        <v>30</v>
      </c>
      <c r="Q53" s="13">
        <v>30</v>
      </c>
      <c r="R53" s="6">
        <f t="shared" si="3"/>
        <v>95</v>
      </c>
      <c r="S53" s="9">
        <v>1.5</v>
      </c>
      <c r="T53" s="13">
        <v>1.25</v>
      </c>
      <c r="U53" s="9">
        <v>1.5</v>
      </c>
      <c r="V53" s="9">
        <f t="shared" si="4"/>
        <v>4.25</v>
      </c>
      <c r="W53" s="6">
        <f t="shared" si="5"/>
        <v>502</v>
      </c>
    </row>
    <row r="54" spans="1:43" ht="14.25">
      <c r="A54" s="1">
        <v>46102</v>
      </c>
      <c r="B54" s="15" t="s">
        <v>13</v>
      </c>
      <c r="C54" s="13">
        <v>36</v>
      </c>
      <c r="D54" s="13">
        <v>23</v>
      </c>
      <c r="E54" s="13">
        <v>30</v>
      </c>
      <c r="F54" s="6">
        <f t="shared" si="0"/>
        <v>89</v>
      </c>
      <c r="G54" s="13">
        <v>70</v>
      </c>
      <c r="H54" s="13">
        <v>58</v>
      </c>
      <c r="I54" s="13">
        <v>54</v>
      </c>
      <c r="J54" s="6">
        <f t="shared" si="1"/>
        <v>182</v>
      </c>
      <c r="K54" s="13">
        <v>36</v>
      </c>
      <c r="L54" s="13">
        <v>32</v>
      </c>
      <c r="M54" s="13">
        <v>30</v>
      </c>
      <c r="N54" s="6">
        <f t="shared" si="2"/>
        <v>98</v>
      </c>
      <c r="O54" s="13">
        <v>43</v>
      </c>
      <c r="P54" s="13">
        <v>35</v>
      </c>
      <c r="Q54" s="13">
        <v>42</v>
      </c>
      <c r="R54" s="6">
        <f t="shared" si="3"/>
        <v>120</v>
      </c>
      <c r="S54" s="13">
        <v>1.75</v>
      </c>
      <c r="T54" s="13">
        <v>1.25</v>
      </c>
      <c r="U54" s="9">
        <v>1.5</v>
      </c>
      <c r="V54" s="13">
        <f t="shared" si="4"/>
        <v>4.5</v>
      </c>
      <c r="W54" s="6">
        <f t="shared" si="5"/>
        <v>489</v>
      </c>
    </row>
    <row r="55" spans="1:43" ht="14.25">
      <c r="A55" s="18">
        <v>46200</v>
      </c>
      <c r="B55" s="15" t="s">
        <v>40</v>
      </c>
      <c r="C55" s="13">
        <v>25</v>
      </c>
      <c r="D55" s="13">
        <v>17</v>
      </c>
      <c r="E55" s="13">
        <v>16</v>
      </c>
      <c r="F55" s="6">
        <f t="shared" si="0"/>
        <v>58</v>
      </c>
      <c r="G55" s="13">
        <v>30</v>
      </c>
      <c r="H55" s="13">
        <v>35</v>
      </c>
      <c r="I55" s="13">
        <v>40</v>
      </c>
      <c r="J55" s="6">
        <f t="shared" si="1"/>
        <v>105</v>
      </c>
      <c r="K55" s="13">
        <v>15</v>
      </c>
      <c r="L55" s="13">
        <v>19</v>
      </c>
      <c r="M55" s="13">
        <v>16</v>
      </c>
      <c r="N55" s="6">
        <f t="shared" si="2"/>
        <v>50</v>
      </c>
      <c r="O55" s="13">
        <v>24</v>
      </c>
      <c r="P55" s="13">
        <v>20</v>
      </c>
      <c r="Q55" s="13">
        <v>19</v>
      </c>
      <c r="R55" s="6">
        <f t="shared" si="3"/>
        <v>63</v>
      </c>
      <c r="S55" s="13">
        <v>1.25</v>
      </c>
      <c r="T55" s="13">
        <v>1</v>
      </c>
      <c r="U55" s="9">
        <v>1</v>
      </c>
      <c r="V55" s="13">
        <f t="shared" si="4"/>
        <v>3.25</v>
      </c>
      <c r="W55" s="6">
        <f t="shared" si="5"/>
        <v>276</v>
      </c>
    </row>
    <row r="56" spans="1:43" ht="14.25">
      <c r="A56" s="18">
        <v>46200</v>
      </c>
      <c r="B56" s="15" t="s">
        <v>15</v>
      </c>
      <c r="C56" s="13">
        <v>26</v>
      </c>
      <c r="D56" s="13">
        <v>18</v>
      </c>
      <c r="E56" s="13">
        <v>24</v>
      </c>
      <c r="F56" s="6">
        <f t="shared" si="0"/>
        <v>68</v>
      </c>
      <c r="G56" s="13">
        <v>47</v>
      </c>
      <c r="H56" s="13">
        <v>35</v>
      </c>
      <c r="I56" s="13">
        <v>43</v>
      </c>
      <c r="J56" s="6">
        <f t="shared" si="1"/>
        <v>125</v>
      </c>
      <c r="K56" s="13">
        <v>26</v>
      </c>
      <c r="L56" s="13">
        <v>21</v>
      </c>
      <c r="M56" s="13">
        <v>21</v>
      </c>
      <c r="N56" s="6">
        <f t="shared" si="2"/>
        <v>68</v>
      </c>
      <c r="O56" s="13">
        <v>30</v>
      </c>
      <c r="P56" s="13">
        <v>21</v>
      </c>
      <c r="Q56" s="13">
        <v>27</v>
      </c>
      <c r="R56" s="6">
        <f t="shared" si="3"/>
        <v>78</v>
      </c>
      <c r="S56" s="13">
        <v>1</v>
      </c>
      <c r="T56" s="13">
        <v>1.25</v>
      </c>
      <c r="U56" s="9">
        <v>1.25</v>
      </c>
      <c r="V56" s="13">
        <f t="shared" si="4"/>
        <v>3.5</v>
      </c>
      <c r="W56" s="6">
        <f t="shared" si="5"/>
        <v>339</v>
      </c>
    </row>
    <row r="57" spans="1:43" ht="14.25">
      <c r="A57" s="18">
        <v>46200</v>
      </c>
      <c r="B57" s="15" t="s">
        <v>12</v>
      </c>
      <c r="C57" s="13">
        <v>40</v>
      </c>
      <c r="D57" s="13">
        <v>35</v>
      </c>
      <c r="E57" s="13">
        <v>29</v>
      </c>
      <c r="F57" s="6">
        <f t="shared" si="0"/>
        <v>104</v>
      </c>
      <c r="G57" s="13">
        <v>65</v>
      </c>
      <c r="H57" s="13">
        <v>73</v>
      </c>
      <c r="I57" s="13">
        <v>79</v>
      </c>
      <c r="J57" s="6">
        <f t="shared" si="1"/>
        <v>217</v>
      </c>
      <c r="K57" s="13">
        <v>35</v>
      </c>
      <c r="L57" s="13">
        <v>26</v>
      </c>
      <c r="M57" s="13">
        <v>31</v>
      </c>
      <c r="N57" s="6">
        <f t="shared" si="2"/>
        <v>92</v>
      </c>
      <c r="O57" s="13">
        <v>40</v>
      </c>
      <c r="P57" s="13">
        <v>36</v>
      </c>
      <c r="Q57" s="13">
        <v>30</v>
      </c>
      <c r="R57" s="6">
        <f t="shared" si="3"/>
        <v>106</v>
      </c>
      <c r="S57" s="13">
        <v>1</v>
      </c>
      <c r="T57" s="13">
        <v>1</v>
      </c>
      <c r="U57" s="9">
        <v>1</v>
      </c>
      <c r="V57" s="13">
        <f t="shared" si="4"/>
        <v>3</v>
      </c>
      <c r="W57" s="6">
        <f t="shared" si="5"/>
        <v>519</v>
      </c>
    </row>
    <row r="58" spans="1:43" ht="14.25">
      <c r="A58" s="18">
        <v>46200</v>
      </c>
      <c r="B58" s="15" t="s">
        <v>17</v>
      </c>
      <c r="C58" s="13">
        <v>29</v>
      </c>
      <c r="D58" s="13">
        <v>29</v>
      </c>
      <c r="E58" s="13">
        <v>30</v>
      </c>
      <c r="F58" s="6">
        <f t="shared" si="0"/>
        <v>88</v>
      </c>
      <c r="G58" s="13">
        <v>60</v>
      </c>
      <c r="H58" s="13">
        <v>70</v>
      </c>
      <c r="I58" s="13">
        <v>73</v>
      </c>
      <c r="J58" s="6">
        <f t="shared" si="1"/>
        <v>203</v>
      </c>
      <c r="K58" s="13">
        <v>23</v>
      </c>
      <c r="L58" s="13">
        <v>24</v>
      </c>
      <c r="M58" s="13">
        <v>22</v>
      </c>
      <c r="N58" s="6">
        <f t="shared" si="2"/>
        <v>69</v>
      </c>
      <c r="O58" s="13">
        <v>33</v>
      </c>
      <c r="P58" s="13">
        <v>29</v>
      </c>
      <c r="Q58" s="13">
        <v>30</v>
      </c>
      <c r="R58" s="6">
        <f t="shared" si="3"/>
        <v>92</v>
      </c>
      <c r="S58" s="13">
        <v>1.25</v>
      </c>
      <c r="T58" s="13">
        <v>1.25</v>
      </c>
      <c r="U58" s="9">
        <v>1.5</v>
      </c>
      <c r="V58" s="13">
        <f t="shared" si="4"/>
        <v>4</v>
      </c>
      <c r="W58" s="6">
        <f t="shared" si="5"/>
        <v>452</v>
      </c>
    </row>
    <row r="59" spans="1:43" ht="14.25">
      <c r="A59" s="18">
        <v>46200</v>
      </c>
      <c r="B59" s="15" t="s">
        <v>16</v>
      </c>
      <c r="C59" s="13">
        <v>40</v>
      </c>
      <c r="D59" s="13">
        <v>27</v>
      </c>
      <c r="E59" s="13">
        <v>25</v>
      </c>
      <c r="F59" s="6">
        <f t="shared" si="0"/>
        <v>92</v>
      </c>
      <c r="G59" s="13">
        <v>73</v>
      </c>
      <c r="H59" s="13">
        <v>64</v>
      </c>
      <c r="I59" s="13">
        <v>70</v>
      </c>
      <c r="J59" s="6">
        <f t="shared" si="1"/>
        <v>207</v>
      </c>
      <c r="K59" s="13">
        <v>38</v>
      </c>
      <c r="L59" s="13">
        <v>36</v>
      </c>
      <c r="M59" s="13">
        <v>37</v>
      </c>
      <c r="N59" s="6">
        <f t="shared" si="2"/>
        <v>111</v>
      </c>
      <c r="O59" s="13">
        <v>40</v>
      </c>
      <c r="P59" s="13">
        <v>34</v>
      </c>
      <c r="Q59" s="13">
        <v>33</v>
      </c>
      <c r="R59" s="6">
        <f t="shared" si="3"/>
        <v>107</v>
      </c>
      <c r="S59" s="13">
        <v>1.5</v>
      </c>
      <c r="T59" s="13">
        <v>1.5</v>
      </c>
      <c r="U59" s="9">
        <v>1.75</v>
      </c>
      <c r="V59" s="13">
        <f t="shared" si="4"/>
        <v>4.75</v>
      </c>
      <c r="W59" s="6">
        <f t="shared" si="5"/>
        <v>517</v>
      </c>
    </row>
    <row r="60" spans="1:43" ht="14.25">
      <c r="A60" s="18">
        <v>46200</v>
      </c>
      <c r="B60" s="15" t="s">
        <v>21</v>
      </c>
      <c r="C60" s="13">
        <v>29</v>
      </c>
      <c r="D60" s="13">
        <v>25</v>
      </c>
      <c r="E60" s="13">
        <v>26</v>
      </c>
      <c r="F60" s="6">
        <f t="shared" si="0"/>
        <v>80</v>
      </c>
      <c r="G60" s="13">
        <v>46</v>
      </c>
      <c r="H60" s="13">
        <v>51</v>
      </c>
      <c r="I60" s="13">
        <v>52</v>
      </c>
      <c r="J60" s="6">
        <f t="shared" si="1"/>
        <v>149</v>
      </c>
      <c r="K60" s="13">
        <v>28</v>
      </c>
      <c r="L60" s="13">
        <v>16</v>
      </c>
      <c r="M60" s="13">
        <v>18</v>
      </c>
      <c r="N60" s="6">
        <f t="shared" si="2"/>
        <v>62</v>
      </c>
      <c r="O60" s="13">
        <v>24</v>
      </c>
      <c r="P60" s="13">
        <v>22</v>
      </c>
      <c r="Q60" s="13">
        <v>24</v>
      </c>
      <c r="R60" s="6">
        <f t="shared" si="3"/>
        <v>70</v>
      </c>
      <c r="S60" s="13">
        <v>1.5</v>
      </c>
      <c r="T60" s="13">
        <v>1.25</v>
      </c>
      <c r="U60" s="9">
        <v>1</v>
      </c>
      <c r="V60" s="13">
        <f t="shared" si="4"/>
        <v>3.75</v>
      </c>
      <c r="W60" s="6">
        <f t="shared" si="5"/>
        <v>361</v>
      </c>
    </row>
    <row r="61" spans="1:43" ht="14.25">
      <c r="A61" s="18">
        <v>46200</v>
      </c>
      <c r="B61" s="15" t="s">
        <v>29</v>
      </c>
      <c r="C61" s="13">
        <v>20</v>
      </c>
      <c r="D61" s="13">
        <v>20</v>
      </c>
      <c r="E61" s="13">
        <v>20</v>
      </c>
      <c r="F61" s="6">
        <f t="shared" si="0"/>
        <v>60</v>
      </c>
      <c r="G61" s="13">
        <v>30</v>
      </c>
      <c r="H61" s="13">
        <v>30</v>
      </c>
      <c r="I61" s="13">
        <v>30</v>
      </c>
      <c r="J61" s="6">
        <f t="shared" si="1"/>
        <v>90</v>
      </c>
      <c r="K61" s="13">
        <v>25</v>
      </c>
      <c r="L61" s="13">
        <v>25</v>
      </c>
      <c r="M61" s="13">
        <v>25</v>
      </c>
      <c r="N61" s="6">
        <f t="shared" si="2"/>
        <v>75</v>
      </c>
      <c r="O61" s="13">
        <v>15</v>
      </c>
      <c r="P61" s="13">
        <v>15</v>
      </c>
      <c r="Q61" s="13">
        <v>15</v>
      </c>
      <c r="R61" s="6">
        <f t="shared" si="3"/>
        <v>45</v>
      </c>
      <c r="S61" s="13">
        <v>1.5</v>
      </c>
      <c r="T61" s="13">
        <v>1.5</v>
      </c>
      <c r="U61" s="9">
        <v>1.5</v>
      </c>
      <c r="V61" s="13">
        <f t="shared" si="4"/>
        <v>4.5</v>
      </c>
      <c r="W61" s="6">
        <f t="shared" si="5"/>
        <v>270</v>
      </c>
    </row>
    <row r="62" spans="1:43" ht="14.25">
      <c r="A62" s="18">
        <v>46200</v>
      </c>
      <c r="B62" s="15" t="s">
        <v>25</v>
      </c>
      <c r="C62" s="13">
        <v>28</v>
      </c>
      <c r="D62" s="13">
        <v>25</v>
      </c>
      <c r="E62" s="13">
        <v>23</v>
      </c>
      <c r="F62" s="6">
        <v>48</v>
      </c>
      <c r="G62" s="13">
        <v>50</v>
      </c>
      <c r="H62" s="13">
        <v>55</v>
      </c>
      <c r="I62" s="13">
        <v>30</v>
      </c>
      <c r="J62" s="6">
        <v>26</v>
      </c>
      <c r="K62" s="13">
        <v>30</v>
      </c>
      <c r="L62" s="13">
        <v>26</v>
      </c>
      <c r="M62" s="13">
        <v>28</v>
      </c>
      <c r="N62" s="6">
        <f t="shared" si="2"/>
        <v>84</v>
      </c>
      <c r="O62" s="13">
        <v>45</v>
      </c>
      <c r="P62" s="13">
        <v>30</v>
      </c>
      <c r="Q62" s="13">
        <v>34</v>
      </c>
      <c r="R62" s="6">
        <f t="shared" si="3"/>
        <v>109</v>
      </c>
      <c r="S62" s="13">
        <v>1.5</v>
      </c>
      <c r="T62" s="13">
        <v>1.5</v>
      </c>
      <c r="U62" s="9">
        <v>1.5</v>
      </c>
      <c r="V62" s="13">
        <f t="shared" si="4"/>
        <v>4.5</v>
      </c>
      <c r="W62" s="6">
        <f t="shared" si="5"/>
        <v>267</v>
      </c>
    </row>
    <row r="63" spans="1:43" ht="14.25">
      <c r="A63" s="1">
        <v>46200</v>
      </c>
      <c r="B63" s="15" t="s">
        <v>20</v>
      </c>
      <c r="C63" s="16">
        <v>31</v>
      </c>
      <c r="D63" s="16">
        <v>27</v>
      </c>
      <c r="E63" s="5">
        <v>28</v>
      </c>
      <c r="F63" s="6">
        <f t="shared" ref="F63:F71" si="6">SUM(C63:E63)</f>
        <v>86</v>
      </c>
      <c r="G63" s="16">
        <v>54</v>
      </c>
      <c r="H63" s="16">
        <v>52</v>
      </c>
      <c r="I63" s="16">
        <v>57</v>
      </c>
      <c r="J63" s="6">
        <f t="shared" ref="J63:J71" si="7">SUM(G63,H63,I63)</f>
        <v>163</v>
      </c>
      <c r="K63" s="16">
        <v>49</v>
      </c>
      <c r="L63" s="16">
        <v>48</v>
      </c>
      <c r="M63" s="16">
        <v>50</v>
      </c>
      <c r="N63" s="6">
        <f t="shared" ref="N63:N71" si="8">SUM(K63,L63,M63)</f>
        <v>147</v>
      </c>
      <c r="O63" s="16">
        <v>42</v>
      </c>
      <c r="P63" s="16">
        <v>40</v>
      </c>
      <c r="Q63" s="16">
        <v>44</v>
      </c>
      <c r="R63" s="6">
        <f t="shared" ref="R63:R71" si="9">SUM(O63,P63,Q63)</f>
        <v>126</v>
      </c>
      <c r="S63" s="17">
        <v>1.5</v>
      </c>
      <c r="T63" s="16">
        <v>1.25</v>
      </c>
      <c r="U63" s="8">
        <v>1.5</v>
      </c>
      <c r="V63" s="9">
        <f t="shared" ref="V63:V71" si="10">SUM(S63,T63,U63)</f>
        <v>4.25</v>
      </c>
      <c r="W63" s="6">
        <f t="shared" ref="W63:W71" si="11">SUM(F63,J63,N63,R63)</f>
        <v>522</v>
      </c>
      <c r="X63" s="10"/>
      <c r="Y63" s="10"/>
      <c r="Z63" s="10"/>
      <c r="AA63" s="10"/>
      <c r="AB63" s="10"/>
      <c r="AC63" s="11"/>
      <c r="AD63" s="11"/>
      <c r="AE63" s="11"/>
      <c r="AF63" s="11"/>
      <c r="AG63" s="11"/>
      <c r="AH63" s="12"/>
      <c r="AI63" s="11"/>
      <c r="AJ63" s="11"/>
      <c r="AK63" s="11"/>
      <c r="AL63" s="11"/>
      <c r="AM63" s="11"/>
      <c r="AN63" s="11"/>
      <c r="AO63" s="11"/>
      <c r="AP63" s="11"/>
      <c r="AQ63" s="11"/>
    </row>
    <row r="64" spans="1:43" ht="14.25">
      <c r="A64" s="18">
        <v>46298</v>
      </c>
      <c r="B64" s="15" t="s">
        <v>25</v>
      </c>
      <c r="C64" s="13">
        <v>30</v>
      </c>
      <c r="D64" s="13">
        <v>22</v>
      </c>
      <c r="E64" s="13">
        <v>20</v>
      </c>
      <c r="F64" s="24">
        <f t="shared" si="6"/>
        <v>72</v>
      </c>
      <c r="G64" s="13">
        <v>56</v>
      </c>
      <c r="H64" s="13">
        <v>51</v>
      </c>
      <c r="I64" s="13">
        <v>50</v>
      </c>
      <c r="J64" s="24">
        <f t="shared" si="7"/>
        <v>157</v>
      </c>
      <c r="K64" s="13">
        <v>28</v>
      </c>
      <c r="L64" s="13">
        <v>25</v>
      </c>
      <c r="M64" s="13">
        <v>25</v>
      </c>
      <c r="N64" s="24">
        <f t="shared" si="8"/>
        <v>78</v>
      </c>
      <c r="O64" s="13">
        <v>46</v>
      </c>
      <c r="P64" s="13">
        <v>33</v>
      </c>
      <c r="Q64" s="13">
        <v>38</v>
      </c>
      <c r="R64" s="24">
        <f t="shared" si="9"/>
        <v>117</v>
      </c>
      <c r="S64" s="13">
        <v>1.5</v>
      </c>
      <c r="T64" s="13">
        <v>1.25</v>
      </c>
      <c r="U64" s="9">
        <v>1.25</v>
      </c>
      <c r="V64" s="13">
        <f t="shared" si="10"/>
        <v>4</v>
      </c>
      <c r="W64" s="24">
        <f t="shared" si="11"/>
        <v>424</v>
      </c>
    </row>
    <row r="65" spans="1:23" ht="14.25">
      <c r="A65" s="18">
        <v>46298</v>
      </c>
      <c r="B65" s="15" t="s">
        <v>12</v>
      </c>
      <c r="C65" s="13">
        <v>40</v>
      </c>
      <c r="D65" s="13">
        <v>30</v>
      </c>
      <c r="E65" s="13">
        <v>31</v>
      </c>
      <c r="F65" s="24">
        <f t="shared" si="6"/>
        <v>101</v>
      </c>
      <c r="G65" s="13">
        <v>62</v>
      </c>
      <c r="H65" s="13">
        <v>75</v>
      </c>
      <c r="I65" s="13">
        <v>80</v>
      </c>
      <c r="J65" s="24">
        <f t="shared" si="7"/>
        <v>217</v>
      </c>
      <c r="K65" s="13">
        <v>32</v>
      </c>
      <c r="L65" s="13">
        <v>29</v>
      </c>
      <c r="M65" s="13">
        <v>29</v>
      </c>
      <c r="N65" s="24">
        <f t="shared" si="8"/>
        <v>90</v>
      </c>
      <c r="O65" s="13">
        <v>40</v>
      </c>
      <c r="P65" s="13">
        <v>30</v>
      </c>
      <c r="Q65" s="13">
        <v>34</v>
      </c>
      <c r="R65" s="24">
        <f t="shared" si="9"/>
        <v>104</v>
      </c>
      <c r="S65" s="13">
        <v>1</v>
      </c>
      <c r="T65" s="13">
        <v>1</v>
      </c>
      <c r="U65" s="9">
        <v>1</v>
      </c>
      <c r="V65" s="13">
        <f t="shared" si="10"/>
        <v>3</v>
      </c>
      <c r="W65" s="24">
        <f t="shared" si="11"/>
        <v>512</v>
      </c>
    </row>
    <row r="66" spans="1:23" ht="14.25">
      <c r="A66" s="18">
        <v>46298</v>
      </c>
      <c r="B66" s="15" t="s">
        <v>55</v>
      </c>
      <c r="C66" s="13">
        <v>25</v>
      </c>
      <c r="D66" s="13">
        <v>20</v>
      </c>
      <c r="E66" s="13">
        <v>15</v>
      </c>
      <c r="F66" s="24">
        <f t="shared" si="6"/>
        <v>60</v>
      </c>
      <c r="G66" s="13">
        <v>28</v>
      </c>
      <c r="H66" s="13">
        <v>31</v>
      </c>
      <c r="I66" s="13">
        <v>26</v>
      </c>
      <c r="J66" s="24">
        <f t="shared" si="7"/>
        <v>85</v>
      </c>
      <c r="K66" s="13">
        <v>19</v>
      </c>
      <c r="L66" s="13">
        <v>15</v>
      </c>
      <c r="M66" s="13">
        <v>16</v>
      </c>
      <c r="N66" s="24">
        <f t="shared" si="8"/>
        <v>50</v>
      </c>
      <c r="O66" s="13">
        <v>25</v>
      </c>
      <c r="P66" s="13">
        <v>21</v>
      </c>
      <c r="Q66" s="13">
        <v>18</v>
      </c>
      <c r="R66" s="24">
        <f t="shared" si="9"/>
        <v>64</v>
      </c>
      <c r="S66" s="13">
        <v>1.25</v>
      </c>
      <c r="T66" s="13">
        <v>1</v>
      </c>
      <c r="U66" s="9">
        <v>1</v>
      </c>
      <c r="V66" s="13">
        <f t="shared" si="10"/>
        <v>3.25</v>
      </c>
      <c r="W66" s="24">
        <f t="shared" si="11"/>
        <v>259</v>
      </c>
    </row>
    <row r="67" spans="1:23" ht="14.25">
      <c r="A67" s="18">
        <v>46298</v>
      </c>
      <c r="B67" s="15" t="s">
        <v>29</v>
      </c>
      <c r="C67" s="13">
        <v>25</v>
      </c>
      <c r="D67" s="13">
        <v>20</v>
      </c>
      <c r="E67" s="13">
        <v>25</v>
      </c>
      <c r="F67" s="24">
        <f t="shared" si="6"/>
        <v>70</v>
      </c>
      <c r="G67" s="13">
        <v>55</v>
      </c>
      <c r="H67" s="13">
        <v>50</v>
      </c>
      <c r="I67" s="13">
        <v>50</v>
      </c>
      <c r="J67" s="24">
        <f t="shared" si="7"/>
        <v>155</v>
      </c>
      <c r="K67" s="13">
        <v>25</v>
      </c>
      <c r="L67" s="13">
        <v>24</v>
      </c>
      <c r="M67" s="13">
        <v>28</v>
      </c>
      <c r="N67" s="24">
        <f t="shared" si="8"/>
        <v>77</v>
      </c>
      <c r="O67" s="13">
        <v>35</v>
      </c>
      <c r="P67" s="13">
        <v>30</v>
      </c>
      <c r="Q67" s="13">
        <v>39</v>
      </c>
      <c r="R67" s="24">
        <f t="shared" si="9"/>
        <v>104</v>
      </c>
      <c r="S67" s="13">
        <v>1.25</v>
      </c>
      <c r="T67" s="13">
        <v>1.25</v>
      </c>
      <c r="U67" s="9">
        <v>1.5</v>
      </c>
      <c r="V67" s="13">
        <f t="shared" si="10"/>
        <v>4</v>
      </c>
      <c r="W67" s="24">
        <f t="shared" si="11"/>
        <v>406</v>
      </c>
    </row>
    <row r="68" spans="1:23" ht="14.25">
      <c r="A68" s="18">
        <v>46298</v>
      </c>
      <c r="B68" s="15" t="s">
        <v>37</v>
      </c>
      <c r="C68" s="13">
        <v>25</v>
      </c>
      <c r="D68" s="13">
        <v>25</v>
      </c>
      <c r="E68" s="13">
        <v>25</v>
      </c>
      <c r="F68" s="24">
        <f t="shared" si="6"/>
        <v>75</v>
      </c>
      <c r="G68" s="13">
        <v>40</v>
      </c>
      <c r="H68" s="13">
        <v>40</v>
      </c>
      <c r="I68" s="13">
        <v>40</v>
      </c>
      <c r="J68" s="24">
        <f t="shared" si="7"/>
        <v>120</v>
      </c>
      <c r="K68" s="13">
        <v>26</v>
      </c>
      <c r="L68" s="13">
        <v>25</v>
      </c>
      <c r="M68" s="13">
        <v>23</v>
      </c>
      <c r="N68" s="24">
        <f t="shared" si="8"/>
        <v>74</v>
      </c>
      <c r="O68" s="13">
        <v>40</v>
      </c>
      <c r="P68" s="13">
        <v>40</v>
      </c>
      <c r="Q68" s="13">
        <v>40</v>
      </c>
      <c r="R68" s="24">
        <f t="shared" si="9"/>
        <v>120</v>
      </c>
      <c r="S68" s="13">
        <v>1</v>
      </c>
      <c r="T68" s="13">
        <v>1</v>
      </c>
      <c r="U68" s="9">
        <v>1</v>
      </c>
      <c r="V68" s="13">
        <f t="shared" si="10"/>
        <v>3</v>
      </c>
      <c r="W68" s="24">
        <f t="shared" si="11"/>
        <v>389</v>
      </c>
    </row>
    <row r="69" spans="1:23" ht="14.25">
      <c r="A69" s="18">
        <v>46298</v>
      </c>
      <c r="B69" s="15" t="s">
        <v>30</v>
      </c>
      <c r="C69" s="13">
        <v>40</v>
      </c>
      <c r="D69" s="13">
        <v>25</v>
      </c>
      <c r="E69" s="13">
        <v>25</v>
      </c>
      <c r="F69" s="24">
        <f t="shared" si="6"/>
        <v>90</v>
      </c>
      <c r="G69" s="13">
        <v>70</v>
      </c>
      <c r="H69" s="13">
        <v>60</v>
      </c>
      <c r="I69" s="13">
        <v>70</v>
      </c>
      <c r="J69" s="24">
        <f t="shared" si="7"/>
        <v>200</v>
      </c>
      <c r="K69" s="13">
        <v>32</v>
      </c>
      <c r="L69" s="13">
        <v>25</v>
      </c>
      <c r="M69" s="13">
        <v>25</v>
      </c>
      <c r="N69" s="24">
        <f t="shared" si="8"/>
        <v>82</v>
      </c>
      <c r="O69" s="13">
        <v>45</v>
      </c>
      <c r="P69" s="13">
        <v>35</v>
      </c>
      <c r="Q69" s="13">
        <v>37</v>
      </c>
      <c r="R69" s="24">
        <f t="shared" si="9"/>
        <v>117</v>
      </c>
      <c r="S69" s="13">
        <v>1.25</v>
      </c>
      <c r="T69" s="13">
        <v>1.5</v>
      </c>
      <c r="U69" s="9">
        <v>1.5</v>
      </c>
      <c r="V69" s="13">
        <f t="shared" si="10"/>
        <v>4.25</v>
      </c>
      <c r="W69" s="24">
        <f t="shared" si="11"/>
        <v>489</v>
      </c>
    </row>
    <row r="70" spans="1:23" ht="14.25">
      <c r="A70" s="18">
        <v>46298</v>
      </c>
      <c r="B70" s="15" t="s">
        <v>20</v>
      </c>
      <c r="C70" s="13">
        <v>37</v>
      </c>
      <c r="D70" s="13">
        <v>33</v>
      </c>
      <c r="E70" s="13">
        <v>32</v>
      </c>
      <c r="F70" s="24">
        <f t="shared" si="6"/>
        <v>102</v>
      </c>
      <c r="G70" s="13">
        <v>40</v>
      </c>
      <c r="H70" s="13">
        <v>48</v>
      </c>
      <c r="I70" s="13">
        <v>57</v>
      </c>
      <c r="J70" s="24">
        <f t="shared" si="7"/>
        <v>145</v>
      </c>
      <c r="K70" s="13">
        <v>24</v>
      </c>
      <c r="L70" s="13">
        <v>26</v>
      </c>
      <c r="M70" s="13">
        <v>26</v>
      </c>
      <c r="N70" s="24">
        <f t="shared" si="8"/>
        <v>76</v>
      </c>
      <c r="O70" s="13">
        <v>43</v>
      </c>
      <c r="P70" s="13">
        <v>45</v>
      </c>
      <c r="Q70" s="13">
        <v>48</v>
      </c>
      <c r="R70" s="24">
        <f t="shared" si="9"/>
        <v>136</v>
      </c>
      <c r="S70" s="13">
        <v>1.25</v>
      </c>
      <c r="T70" s="13">
        <v>1.25</v>
      </c>
      <c r="U70" s="9">
        <v>1.25</v>
      </c>
      <c r="V70" s="13">
        <f t="shared" si="10"/>
        <v>3.75</v>
      </c>
      <c r="W70" s="24">
        <f t="shared" si="11"/>
        <v>459</v>
      </c>
    </row>
    <row r="71" spans="1:23" ht="14.25">
      <c r="A71" s="18">
        <v>46298</v>
      </c>
      <c r="B71" s="15" t="s">
        <v>15</v>
      </c>
      <c r="C71" s="13">
        <v>29</v>
      </c>
      <c r="D71" s="13">
        <v>25</v>
      </c>
      <c r="E71" s="13">
        <v>23</v>
      </c>
      <c r="F71" s="24">
        <f t="shared" si="6"/>
        <v>77</v>
      </c>
      <c r="G71" s="13">
        <v>44</v>
      </c>
      <c r="H71" s="13">
        <v>44</v>
      </c>
      <c r="I71" s="13">
        <v>46</v>
      </c>
      <c r="J71" s="24">
        <f t="shared" si="7"/>
        <v>134</v>
      </c>
      <c r="K71" s="13">
        <v>27</v>
      </c>
      <c r="L71" s="13">
        <v>27</v>
      </c>
      <c r="M71" s="13">
        <v>25</v>
      </c>
      <c r="N71" s="24">
        <f t="shared" si="8"/>
        <v>79</v>
      </c>
      <c r="O71" s="13">
        <v>41</v>
      </c>
      <c r="P71" s="13">
        <v>33</v>
      </c>
      <c r="Q71" s="13">
        <v>32</v>
      </c>
      <c r="R71" s="24">
        <f t="shared" si="9"/>
        <v>106</v>
      </c>
      <c r="S71" s="13">
        <v>1</v>
      </c>
      <c r="T71" s="13">
        <v>1</v>
      </c>
      <c r="U71" s="9">
        <v>1.25</v>
      </c>
      <c r="V71" s="13">
        <f t="shared" si="10"/>
        <v>3.25</v>
      </c>
      <c r="W71" s="24">
        <f t="shared" si="11"/>
        <v>396</v>
      </c>
    </row>
    <row r="72" spans="1:23" ht="12.75">
      <c r="A72" s="18"/>
    </row>
    <row r="73" spans="1:23" ht="12.75">
      <c r="A73" s="18"/>
    </row>
    <row r="74" spans="1:23" ht="12.75">
      <c r="A74" s="18"/>
    </row>
    <row r="75" spans="1:23" ht="12.75">
      <c r="A75" s="18"/>
    </row>
    <row r="76" spans="1:23" ht="12.75">
      <c r="A76" s="18"/>
    </row>
    <row r="77" spans="1:23" ht="12.75">
      <c r="A77" s="18"/>
    </row>
    <row r="78" spans="1:23" ht="12.75">
      <c r="A78" s="18"/>
    </row>
    <row r="79" spans="1:23" ht="12.75">
      <c r="A79" s="18"/>
    </row>
    <row r="80" spans="1:23" ht="12.75">
      <c r="A80" s="18"/>
    </row>
    <row r="81" spans="1:1" ht="12.75">
      <c r="A81" s="18"/>
    </row>
    <row r="82" spans="1:1" ht="12.75">
      <c r="A82" s="18"/>
    </row>
    <row r="83" spans="1:1" ht="12.75">
      <c r="A83" s="18"/>
    </row>
    <row r="84" spans="1:1" ht="12.75">
      <c r="A84" s="18"/>
    </row>
    <row r="85" spans="1:1" ht="12.75">
      <c r="A85" s="18"/>
    </row>
    <row r="86" spans="1:1" ht="12.75">
      <c r="A86" s="18"/>
    </row>
    <row r="87" spans="1:1" ht="12.75">
      <c r="A87" s="18"/>
    </row>
    <row r="88" spans="1:1" ht="12.75">
      <c r="A88" s="18"/>
    </row>
    <row r="89" spans="1:1" ht="12.75">
      <c r="A89" s="18"/>
    </row>
    <row r="90" spans="1:1" ht="12.75">
      <c r="A90" s="18"/>
    </row>
    <row r="91" spans="1:1" ht="12.75">
      <c r="A91" s="18"/>
    </row>
    <row r="92" spans="1:1" ht="12.75">
      <c r="A92" s="18"/>
    </row>
    <row r="93" spans="1:1" ht="12.75">
      <c r="A93" s="18"/>
    </row>
    <row r="94" spans="1:1" ht="12.75">
      <c r="A94" s="18"/>
    </row>
    <row r="95" spans="1:1" ht="12.75">
      <c r="A95" s="18"/>
    </row>
    <row r="96" spans="1:1" ht="12.75">
      <c r="A96" s="18"/>
    </row>
    <row r="97" spans="1:1" ht="12.75">
      <c r="A97" s="18"/>
    </row>
    <row r="98" spans="1:1" ht="12.75">
      <c r="A98" s="18"/>
    </row>
    <row r="99" spans="1:1" ht="12.75">
      <c r="A99" s="18"/>
    </row>
    <row r="100" spans="1:1" ht="12.75">
      <c r="A100" s="18"/>
    </row>
    <row r="101" spans="1:1" ht="12.75">
      <c r="A101" s="18"/>
    </row>
    <row r="102" spans="1:1" ht="12.75">
      <c r="A102" s="18"/>
    </row>
    <row r="103" spans="1:1" ht="12.75">
      <c r="A103" s="18"/>
    </row>
    <row r="104" spans="1:1" ht="12.75">
      <c r="A104" s="18"/>
    </row>
    <row r="105" spans="1:1" ht="12.75">
      <c r="A105" s="18"/>
    </row>
    <row r="106" spans="1:1" ht="12.75">
      <c r="A106" s="18"/>
    </row>
    <row r="107" spans="1:1" ht="12.75">
      <c r="A107" s="18"/>
    </row>
    <row r="108" spans="1:1" ht="12.75">
      <c r="A108" s="18"/>
    </row>
    <row r="109" spans="1:1" ht="12.75">
      <c r="A109" s="18"/>
    </row>
    <row r="110" spans="1:1" ht="12.75">
      <c r="A110" s="18"/>
    </row>
    <row r="111" spans="1:1" ht="12.75">
      <c r="A111" s="18"/>
    </row>
    <row r="112" spans="1:1" ht="12.75">
      <c r="A112" s="18"/>
    </row>
    <row r="113" spans="1:1" ht="12.75">
      <c r="A113" s="18"/>
    </row>
    <row r="114" spans="1:1" ht="12.75">
      <c r="A114" s="18"/>
    </row>
    <row r="115" spans="1:1" ht="12.75">
      <c r="A115" s="18"/>
    </row>
    <row r="116" spans="1:1" ht="12.75">
      <c r="A116" s="18"/>
    </row>
    <row r="117" spans="1:1" ht="12.75">
      <c r="A117" s="18"/>
    </row>
    <row r="118" spans="1:1" ht="12.75">
      <c r="A118" s="18"/>
    </row>
    <row r="119" spans="1:1" ht="12.75">
      <c r="A119" s="18"/>
    </row>
    <row r="120" spans="1:1" ht="12.75">
      <c r="A120" s="18"/>
    </row>
    <row r="121" spans="1:1" ht="12.75">
      <c r="A121" s="18"/>
    </row>
    <row r="122" spans="1:1" ht="12.75">
      <c r="A122" s="18"/>
    </row>
    <row r="123" spans="1:1" ht="12.75">
      <c r="A123" s="18"/>
    </row>
    <row r="124" spans="1:1" ht="12.75">
      <c r="A124" s="18"/>
    </row>
    <row r="125" spans="1:1" ht="12.75">
      <c r="A125" s="18"/>
    </row>
    <row r="126" spans="1:1" ht="12.75">
      <c r="A126" s="18"/>
    </row>
    <row r="127" spans="1:1" ht="12.75">
      <c r="A127" s="18"/>
    </row>
    <row r="128" spans="1:1" ht="12.75">
      <c r="A128" s="18"/>
    </row>
    <row r="129" spans="1:1" ht="12.75">
      <c r="A129" s="18"/>
    </row>
    <row r="130" spans="1:1" ht="12.75">
      <c r="A130" s="18"/>
    </row>
    <row r="131" spans="1:1" ht="12.75">
      <c r="A131" s="18"/>
    </row>
    <row r="132" spans="1:1" ht="12.75">
      <c r="A132" s="18"/>
    </row>
    <row r="133" spans="1:1" ht="12.75">
      <c r="A133" s="18"/>
    </row>
    <row r="134" spans="1:1" ht="12.75">
      <c r="A134" s="18"/>
    </row>
    <row r="135" spans="1:1" ht="12.75">
      <c r="A135" s="18"/>
    </row>
    <row r="136" spans="1:1" ht="12.75">
      <c r="A136" s="18"/>
    </row>
    <row r="137" spans="1:1" ht="12.75">
      <c r="A137" s="18"/>
    </row>
    <row r="138" spans="1:1" ht="12.75">
      <c r="A138" s="18"/>
    </row>
    <row r="139" spans="1:1" ht="12.75">
      <c r="A139" s="18"/>
    </row>
    <row r="140" spans="1:1" ht="12.75">
      <c r="A140" s="18"/>
    </row>
    <row r="141" spans="1:1" ht="12.75">
      <c r="A141" s="18"/>
    </row>
    <row r="142" spans="1:1" ht="12.75">
      <c r="A142" s="18"/>
    </row>
    <row r="143" spans="1:1" ht="12.75">
      <c r="A143" s="18"/>
    </row>
    <row r="144" spans="1:1" ht="12.75">
      <c r="A144" s="18"/>
    </row>
    <row r="145" spans="1:1" ht="12.75">
      <c r="A145" s="18"/>
    </row>
    <row r="146" spans="1:1" ht="12.75">
      <c r="A146" s="18"/>
    </row>
    <row r="147" spans="1:1" ht="12.75">
      <c r="A147" s="18"/>
    </row>
    <row r="148" spans="1:1" ht="12.75">
      <c r="A148" s="18"/>
    </row>
    <row r="149" spans="1:1" ht="12.75">
      <c r="A149" s="18"/>
    </row>
    <row r="150" spans="1:1" ht="12.75">
      <c r="A150" s="18"/>
    </row>
    <row r="151" spans="1:1" ht="12.75">
      <c r="A151" s="18"/>
    </row>
    <row r="152" spans="1:1" ht="12.75">
      <c r="A152" s="18"/>
    </row>
    <row r="153" spans="1:1" ht="12.75">
      <c r="A153" s="18"/>
    </row>
    <row r="154" spans="1:1" ht="12.75">
      <c r="A154" s="18"/>
    </row>
    <row r="155" spans="1:1" ht="12.75">
      <c r="A155" s="18"/>
    </row>
    <row r="156" spans="1:1" ht="12.75">
      <c r="A156" s="18"/>
    </row>
    <row r="157" spans="1:1" ht="12.75">
      <c r="A157" s="18"/>
    </row>
    <row r="158" spans="1:1" ht="12.75">
      <c r="A158" s="18"/>
    </row>
    <row r="159" spans="1:1" ht="12.75">
      <c r="A159" s="18"/>
    </row>
    <row r="160" spans="1:1" ht="12.75">
      <c r="A160" s="18"/>
    </row>
    <row r="161" spans="1:1" ht="12.75">
      <c r="A161" s="18"/>
    </row>
    <row r="162" spans="1:1" ht="12.75">
      <c r="A162" s="18"/>
    </row>
    <row r="163" spans="1:1" ht="12.75">
      <c r="A163" s="18"/>
    </row>
    <row r="164" spans="1:1" ht="12.75">
      <c r="A164" s="18"/>
    </row>
    <row r="165" spans="1:1" ht="12.75">
      <c r="A165" s="18"/>
    </row>
    <row r="166" spans="1:1" ht="12.75">
      <c r="A166" s="18"/>
    </row>
    <row r="167" spans="1:1" ht="12.75">
      <c r="A167" s="18"/>
    </row>
    <row r="168" spans="1:1" ht="12.75">
      <c r="A168" s="18"/>
    </row>
    <row r="169" spans="1:1" ht="12.75">
      <c r="A169" s="18"/>
    </row>
    <row r="170" spans="1:1" ht="12.75">
      <c r="A170" s="18"/>
    </row>
    <row r="171" spans="1:1" ht="12.75">
      <c r="A171" s="18"/>
    </row>
    <row r="172" spans="1:1" ht="12.75">
      <c r="A172" s="18"/>
    </row>
    <row r="173" spans="1:1" ht="12.75">
      <c r="A173" s="18"/>
    </row>
    <row r="174" spans="1:1" ht="12.75">
      <c r="A174" s="18"/>
    </row>
    <row r="175" spans="1:1" ht="12.75">
      <c r="A175" s="18"/>
    </row>
    <row r="176" spans="1:1" ht="12.75">
      <c r="A176" s="18"/>
    </row>
    <row r="177" spans="1:1" ht="12.75">
      <c r="A177" s="18"/>
    </row>
    <row r="178" spans="1:1" ht="12.75">
      <c r="A178" s="18"/>
    </row>
    <row r="179" spans="1:1" ht="12.75">
      <c r="A179" s="18"/>
    </row>
    <row r="180" spans="1:1" ht="12.75">
      <c r="A180" s="18"/>
    </row>
    <row r="181" spans="1:1" ht="12.75">
      <c r="A181" s="18"/>
    </row>
    <row r="182" spans="1:1" ht="12.75">
      <c r="A182" s="18"/>
    </row>
    <row r="183" spans="1:1" ht="12.75">
      <c r="A183" s="18"/>
    </row>
    <row r="184" spans="1:1" ht="12.75">
      <c r="A184" s="18"/>
    </row>
    <row r="185" spans="1:1" ht="12.75">
      <c r="A185" s="18"/>
    </row>
    <row r="186" spans="1:1" ht="12.75">
      <c r="A186" s="18"/>
    </row>
    <row r="187" spans="1:1" ht="12.75">
      <c r="A187" s="18"/>
    </row>
    <row r="188" spans="1:1" ht="12.75">
      <c r="A188" s="18"/>
    </row>
    <row r="189" spans="1:1" ht="12.75">
      <c r="A189" s="18"/>
    </row>
    <row r="190" spans="1:1" ht="12.75">
      <c r="A190" s="18"/>
    </row>
    <row r="191" spans="1:1" ht="12.75">
      <c r="A191" s="18"/>
    </row>
    <row r="192" spans="1:1" ht="12.75">
      <c r="A192" s="18"/>
    </row>
    <row r="193" spans="1:1" ht="12.75">
      <c r="A193" s="18"/>
    </row>
    <row r="194" spans="1:1" ht="12.75">
      <c r="A194" s="18"/>
    </row>
    <row r="195" spans="1:1" ht="12.75">
      <c r="A195" s="18"/>
    </row>
    <row r="196" spans="1:1" ht="12.75">
      <c r="A196" s="18"/>
    </row>
    <row r="197" spans="1:1" ht="12.75">
      <c r="A197" s="18"/>
    </row>
    <row r="198" spans="1:1" ht="12.75">
      <c r="A198" s="18"/>
    </row>
    <row r="199" spans="1:1" ht="12.75">
      <c r="A199" s="18"/>
    </row>
    <row r="200" spans="1:1" ht="12.75">
      <c r="A200" s="18"/>
    </row>
    <row r="201" spans="1:1" ht="12.75">
      <c r="A201" s="18"/>
    </row>
    <row r="202" spans="1:1" ht="12.75">
      <c r="A202" s="18"/>
    </row>
    <row r="203" spans="1:1" ht="12.75">
      <c r="A203" s="18"/>
    </row>
    <row r="204" spans="1:1" ht="12.75">
      <c r="A204" s="18"/>
    </row>
    <row r="205" spans="1:1" ht="12.75">
      <c r="A205" s="18"/>
    </row>
    <row r="206" spans="1:1" ht="12.75">
      <c r="A206" s="18"/>
    </row>
    <row r="207" spans="1:1" ht="12.75">
      <c r="A207" s="18"/>
    </row>
    <row r="208" spans="1:1" ht="12.75">
      <c r="A208" s="18"/>
    </row>
    <row r="209" spans="1:1" ht="12.75">
      <c r="A209" s="18"/>
    </row>
    <row r="210" spans="1:1" ht="12.75">
      <c r="A210" s="18"/>
    </row>
    <row r="211" spans="1:1" ht="12.75">
      <c r="A211" s="18"/>
    </row>
    <row r="212" spans="1:1" ht="12.75">
      <c r="A212" s="18"/>
    </row>
    <row r="213" spans="1:1" ht="12.75">
      <c r="A213" s="18"/>
    </row>
    <row r="214" spans="1:1" ht="12.75">
      <c r="A214" s="18"/>
    </row>
    <row r="215" spans="1:1" ht="12.75">
      <c r="A215" s="18"/>
    </row>
    <row r="216" spans="1:1" ht="12.75">
      <c r="A216" s="18"/>
    </row>
    <row r="217" spans="1:1" ht="12.75">
      <c r="A217" s="18"/>
    </row>
    <row r="218" spans="1:1" ht="12.75">
      <c r="A218" s="18"/>
    </row>
    <row r="219" spans="1:1" ht="12.75">
      <c r="A219" s="18"/>
    </row>
    <row r="220" spans="1:1" ht="12.75">
      <c r="A220" s="18"/>
    </row>
    <row r="221" spans="1:1" ht="12.75">
      <c r="A221" s="18"/>
    </row>
    <row r="222" spans="1:1" ht="12.75">
      <c r="A222" s="18"/>
    </row>
    <row r="223" spans="1:1" ht="12.75">
      <c r="A223" s="18"/>
    </row>
    <row r="224" spans="1:1" ht="12.75">
      <c r="A224" s="18"/>
    </row>
    <row r="225" spans="1:1" ht="12.75">
      <c r="A225" s="18"/>
    </row>
    <row r="226" spans="1:1" ht="12.75">
      <c r="A226" s="18"/>
    </row>
    <row r="227" spans="1:1" ht="12.75">
      <c r="A227" s="18"/>
    </row>
    <row r="228" spans="1:1" ht="12.75">
      <c r="A228" s="18"/>
    </row>
    <row r="229" spans="1:1" ht="12.75">
      <c r="A229" s="18"/>
    </row>
    <row r="230" spans="1:1" ht="12.75">
      <c r="A230" s="18"/>
    </row>
    <row r="231" spans="1:1" ht="12.75">
      <c r="A231" s="18"/>
    </row>
    <row r="232" spans="1:1" ht="12.75">
      <c r="A232" s="18"/>
    </row>
    <row r="233" spans="1:1" ht="12.75">
      <c r="A233" s="18"/>
    </row>
    <row r="234" spans="1:1" ht="12.75">
      <c r="A234" s="18"/>
    </row>
    <row r="235" spans="1:1" ht="12.75">
      <c r="A235" s="18"/>
    </row>
    <row r="236" spans="1:1" ht="12.75">
      <c r="A236" s="18"/>
    </row>
    <row r="237" spans="1:1" ht="12.75">
      <c r="A237" s="18"/>
    </row>
    <row r="238" spans="1:1" ht="12.75">
      <c r="A238" s="18"/>
    </row>
    <row r="239" spans="1:1" ht="12.75">
      <c r="A239" s="18"/>
    </row>
    <row r="240" spans="1:1" ht="12.75">
      <c r="A240" s="18"/>
    </row>
    <row r="241" spans="1:1" ht="12.75">
      <c r="A241" s="18"/>
    </row>
    <row r="242" spans="1:1" ht="12.75">
      <c r="A242" s="18"/>
    </row>
    <row r="243" spans="1:1" ht="12.75">
      <c r="A243" s="18"/>
    </row>
    <row r="244" spans="1:1" ht="12.75">
      <c r="A244" s="18"/>
    </row>
    <row r="245" spans="1:1" ht="12.75">
      <c r="A245" s="18"/>
    </row>
    <row r="246" spans="1:1" ht="12.75">
      <c r="A246" s="18"/>
    </row>
    <row r="247" spans="1:1" ht="12.75">
      <c r="A247" s="18"/>
    </row>
    <row r="248" spans="1:1" ht="12.75">
      <c r="A248" s="18"/>
    </row>
    <row r="249" spans="1:1" ht="12.75">
      <c r="A249" s="18"/>
    </row>
    <row r="250" spans="1:1" ht="12.75">
      <c r="A250" s="18"/>
    </row>
    <row r="251" spans="1:1" ht="12.75">
      <c r="A251" s="18"/>
    </row>
    <row r="252" spans="1:1" ht="12.75">
      <c r="A252" s="18"/>
    </row>
    <row r="253" spans="1:1" ht="12.75">
      <c r="A253" s="18"/>
    </row>
    <row r="254" spans="1:1" ht="12.75">
      <c r="A254" s="18"/>
    </row>
    <row r="255" spans="1:1" ht="12.75">
      <c r="A255" s="18"/>
    </row>
    <row r="256" spans="1:1" ht="12.75">
      <c r="A256" s="18"/>
    </row>
    <row r="257" spans="1:1" ht="12.75">
      <c r="A257" s="18"/>
    </row>
    <row r="258" spans="1:1" ht="12.75">
      <c r="A258" s="18"/>
    </row>
    <row r="259" spans="1:1" ht="12.75">
      <c r="A259" s="18"/>
    </row>
    <row r="260" spans="1:1" ht="12.75">
      <c r="A260" s="18"/>
    </row>
    <row r="261" spans="1:1" ht="12.75">
      <c r="A261" s="18"/>
    </row>
    <row r="262" spans="1:1" ht="12.75">
      <c r="A262" s="18"/>
    </row>
    <row r="263" spans="1:1" ht="12.75">
      <c r="A263" s="18"/>
    </row>
    <row r="264" spans="1:1" ht="12.75">
      <c r="A264" s="18"/>
    </row>
    <row r="265" spans="1:1" ht="12.75">
      <c r="A265" s="18"/>
    </row>
    <row r="266" spans="1:1" ht="12.75">
      <c r="A266" s="18"/>
    </row>
    <row r="267" spans="1:1" ht="12.75">
      <c r="A267" s="18"/>
    </row>
    <row r="268" spans="1:1" ht="12.75">
      <c r="A268" s="18"/>
    </row>
    <row r="269" spans="1:1" ht="12.75">
      <c r="A269" s="18"/>
    </row>
    <row r="270" spans="1:1" ht="12.75">
      <c r="A270" s="18"/>
    </row>
    <row r="271" spans="1:1" ht="12.75">
      <c r="A271" s="18"/>
    </row>
    <row r="272" spans="1:1" ht="12.75">
      <c r="A272" s="18"/>
    </row>
    <row r="273" spans="1:1" ht="12.75">
      <c r="A273" s="18"/>
    </row>
    <row r="274" spans="1:1" ht="12.75">
      <c r="A274" s="18"/>
    </row>
    <row r="275" spans="1:1" ht="12.75">
      <c r="A275" s="18"/>
    </row>
    <row r="276" spans="1:1" ht="12.75">
      <c r="A276" s="18"/>
    </row>
    <row r="277" spans="1:1" ht="12.75">
      <c r="A277" s="18"/>
    </row>
    <row r="278" spans="1:1" ht="12.75">
      <c r="A278" s="18"/>
    </row>
    <row r="279" spans="1:1" ht="12.75">
      <c r="A279" s="18"/>
    </row>
    <row r="280" spans="1:1" ht="12.75">
      <c r="A280" s="18"/>
    </row>
    <row r="281" spans="1:1" ht="12.75">
      <c r="A281" s="18"/>
    </row>
    <row r="282" spans="1:1" ht="12.75">
      <c r="A282" s="18"/>
    </row>
    <row r="283" spans="1:1" ht="12.75">
      <c r="A283" s="18"/>
    </row>
    <row r="284" spans="1:1" ht="12.75">
      <c r="A284" s="18"/>
    </row>
    <row r="285" spans="1:1" ht="12.75">
      <c r="A285" s="18"/>
    </row>
    <row r="286" spans="1:1" ht="12.75">
      <c r="A286" s="18"/>
    </row>
    <row r="287" spans="1:1" ht="12.75">
      <c r="A287" s="18"/>
    </row>
    <row r="288" spans="1:1" ht="12.75">
      <c r="A288" s="18"/>
    </row>
    <row r="289" spans="1:1" ht="12.75">
      <c r="A289" s="18"/>
    </row>
    <row r="290" spans="1:1" ht="12.75">
      <c r="A290" s="18"/>
    </row>
    <row r="291" spans="1:1" ht="12.75">
      <c r="A291" s="18"/>
    </row>
    <row r="292" spans="1:1" ht="12.75">
      <c r="A292" s="18"/>
    </row>
    <row r="293" spans="1:1" ht="12.75">
      <c r="A293" s="18"/>
    </row>
    <row r="294" spans="1:1" ht="12.75">
      <c r="A294" s="18"/>
    </row>
    <row r="295" spans="1:1" ht="12.75">
      <c r="A295" s="18"/>
    </row>
    <row r="296" spans="1:1" ht="12.75">
      <c r="A296" s="18"/>
    </row>
    <row r="297" spans="1:1" ht="12.75">
      <c r="A297" s="18"/>
    </row>
    <row r="298" spans="1:1" ht="12.75">
      <c r="A298" s="18"/>
    </row>
    <row r="299" spans="1:1" ht="12.75">
      <c r="A299" s="18"/>
    </row>
    <row r="300" spans="1:1" ht="12.75">
      <c r="A300" s="18"/>
    </row>
    <row r="301" spans="1:1" ht="12.75">
      <c r="A301" s="18"/>
    </row>
    <row r="302" spans="1:1" ht="12.75">
      <c r="A302" s="18"/>
    </row>
    <row r="303" spans="1:1" ht="12.75">
      <c r="A303" s="18"/>
    </row>
    <row r="304" spans="1:1" ht="12.75">
      <c r="A304" s="18"/>
    </row>
    <row r="305" spans="1:1" ht="12.75">
      <c r="A305" s="18"/>
    </row>
    <row r="306" spans="1:1" ht="12.75">
      <c r="A306" s="18"/>
    </row>
    <row r="307" spans="1:1" ht="12.75">
      <c r="A307" s="18"/>
    </row>
    <row r="308" spans="1:1" ht="12.75">
      <c r="A308" s="18"/>
    </row>
    <row r="309" spans="1:1" ht="12.75">
      <c r="A309" s="18"/>
    </row>
    <row r="310" spans="1:1" ht="12.75">
      <c r="A310" s="18"/>
    </row>
    <row r="311" spans="1:1" ht="12.75">
      <c r="A311" s="18"/>
    </row>
    <row r="312" spans="1:1" ht="12.75">
      <c r="A312" s="18"/>
    </row>
    <row r="313" spans="1:1" ht="12.75">
      <c r="A313" s="18"/>
    </row>
    <row r="314" spans="1:1" ht="12.75">
      <c r="A314" s="18"/>
    </row>
    <row r="315" spans="1:1" ht="12.75">
      <c r="A315" s="18"/>
    </row>
    <row r="316" spans="1:1" ht="12.75">
      <c r="A316" s="18"/>
    </row>
    <row r="317" spans="1:1" ht="12.75">
      <c r="A317" s="18"/>
    </row>
    <row r="318" spans="1:1" ht="12.75">
      <c r="A318" s="18"/>
    </row>
    <row r="319" spans="1:1" ht="12.75">
      <c r="A319" s="18"/>
    </row>
    <row r="320" spans="1:1" ht="12.75">
      <c r="A320" s="18"/>
    </row>
    <row r="321" spans="1:1" ht="12.75">
      <c r="A321" s="18"/>
    </row>
    <row r="322" spans="1:1" ht="12.75">
      <c r="A322" s="18"/>
    </row>
    <row r="323" spans="1:1" ht="12.75">
      <c r="A323" s="18"/>
    </row>
    <row r="324" spans="1:1" ht="12.75">
      <c r="A324" s="18"/>
    </row>
    <row r="325" spans="1:1" ht="12.75">
      <c r="A325" s="18"/>
    </row>
    <row r="326" spans="1:1" ht="12.75">
      <c r="A326" s="18"/>
    </row>
    <row r="327" spans="1:1" ht="12.75">
      <c r="A327" s="18"/>
    </row>
    <row r="328" spans="1:1" ht="12.75">
      <c r="A328" s="18"/>
    </row>
    <row r="329" spans="1:1" ht="12.75">
      <c r="A329" s="18"/>
    </row>
    <row r="330" spans="1:1" ht="12.75">
      <c r="A330" s="18"/>
    </row>
    <row r="331" spans="1:1" ht="12.75">
      <c r="A331" s="18"/>
    </row>
    <row r="332" spans="1:1" ht="12.75">
      <c r="A332" s="18"/>
    </row>
    <row r="333" spans="1:1" ht="12.75">
      <c r="A333" s="18"/>
    </row>
    <row r="334" spans="1:1" ht="12.75">
      <c r="A334" s="18"/>
    </row>
    <row r="335" spans="1:1" ht="12.75">
      <c r="A335" s="18"/>
    </row>
    <row r="336" spans="1:1" ht="12.75">
      <c r="A336" s="18"/>
    </row>
    <row r="337" spans="1:1" ht="12.75">
      <c r="A337" s="18"/>
    </row>
    <row r="338" spans="1:1" ht="12.75">
      <c r="A338" s="18"/>
    </row>
    <row r="339" spans="1:1" ht="12.75">
      <c r="A339" s="18"/>
    </row>
    <row r="340" spans="1:1" ht="12.75">
      <c r="A340" s="18"/>
    </row>
    <row r="341" spans="1:1" ht="12.75">
      <c r="A341" s="18"/>
    </row>
    <row r="342" spans="1:1" ht="12.75">
      <c r="A342" s="18"/>
    </row>
    <row r="343" spans="1:1" ht="12.75">
      <c r="A343" s="18"/>
    </row>
    <row r="344" spans="1:1" ht="12.75">
      <c r="A344" s="18"/>
    </row>
    <row r="345" spans="1:1" ht="12.75">
      <c r="A345" s="18"/>
    </row>
    <row r="346" spans="1:1" ht="12.75">
      <c r="A346" s="18"/>
    </row>
    <row r="347" spans="1:1" ht="12.75">
      <c r="A347" s="18"/>
    </row>
    <row r="348" spans="1:1" ht="12.75">
      <c r="A348" s="18"/>
    </row>
    <row r="349" spans="1:1" ht="12.75">
      <c r="A349" s="18"/>
    </row>
    <row r="350" spans="1:1" ht="12.75">
      <c r="A350" s="18"/>
    </row>
    <row r="351" spans="1:1" ht="12.75">
      <c r="A351" s="18"/>
    </row>
    <row r="352" spans="1:1" ht="12.75">
      <c r="A352" s="18"/>
    </row>
    <row r="353" spans="1:1" ht="12.75">
      <c r="A353" s="18"/>
    </row>
    <row r="354" spans="1:1" ht="12.75">
      <c r="A354" s="18"/>
    </row>
    <row r="355" spans="1:1" ht="12.75">
      <c r="A355" s="18"/>
    </row>
    <row r="356" spans="1:1" ht="12.75">
      <c r="A356" s="18"/>
    </row>
    <row r="357" spans="1:1" ht="12.75">
      <c r="A357" s="18"/>
    </row>
    <row r="358" spans="1:1" ht="12.75">
      <c r="A358" s="18"/>
    </row>
    <row r="359" spans="1:1" ht="12.75">
      <c r="A359" s="18"/>
    </row>
    <row r="360" spans="1:1" ht="12.75">
      <c r="A360" s="18"/>
    </row>
    <row r="361" spans="1:1" ht="12.75">
      <c r="A361" s="18"/>
    </row>
    <row r="362" spans="1:1" ht="12.75">
      <c r="A362" s="18"/>
    </row>
    <row r="363" spans="1:1" ht="12.75">
      <c r="A363" s="18"/>
    </row>
    <row r="364" spans="1:1" ht="12.75">
      <c r="A364" s="18"/>
    </row>
    <row r="365" spans="1:1" ht="12.75">
      <c r="A365" s="18"/>
    </row>
    <row r="366" spans="1:1" ht="12.75">
      <c r="A366" s="18"/>
    </row>
    <row r="367" spans="1:1" ht="12.75">
      <c r="A367" s="18"/>
    </row>
    <row r="368" spans="1:1" ht="12.75">
      <c r="A368" s="18"/>
    </row>
    <row r="369" spans="1:1" ht="12.75">
      <c r="A369" s="18"/>
    </row>
    <row r="370" spans="1:1" ht="12.75">
      <c r="A370" s="18"/>
    </row>
    <row r="371" spans="1:1" ht="12.75">
      <c r="A371" s="18"/>
    </row>
    <row r="372" spans="1:1" ht="12.75">
      <c r="A372" s="18"/>
    </row>
    <row r="373" spans="1:1" ht="12.75">
      <c r="A373" s="18"/>
    </row>
    <row r="374" spans="1:1" ht="12.75">
      <c r="A374" s="18"/>
    </row>
    <row r="375" spans="1:1" ht="12.75">
      <c r="A375" s="18"/>
    </row>
    <row r="376" spans="1:1" ht="12.75">
      <c r="A376" s="18"/>
    </row>
    <row r="377" spans="1:1" ht="12.75">
      <c r="A377" s="18"/>
    </row>
    <row r="378" spans="1:1" ht="12.75">
      <c r="A378" s="18"/>
    </row>
    <row r="379" spans="1:1" ht="12.75">
      <c r="A379" s="18"/>
    </row>
    <row r="380" spans="1:1" ht="12.75">
      <c r="A380" s="18"/>
    </row>
    <row r="381" spans="1:1" ht="12.75">
      <c r="A381" s="18"/>
    </row>
    <row r="382" spans="1:1" ht="12.75">
      <c r="A382" s="18"/>
    </row>
    <row r="383" spans="1:1" ht="12.75">
      <c r="A383" s="18"/>
    </row>
    <row r="384" spans="1:1" ht="12.75">
      <c r="A384" s="18"/>
    </row>
    <row r="385" spans="1:1" ht="12.75">
      <c r="A385" s="18"/>
    </row>
    <row r="386" spans="1:1" ht="12.75">
      <c r="A386" s="18"/>
    </row>
    <row r="387" spans="1:1" ht="12.75">
      <c r="A387" s="18"/>
    </row>
    <row r="388" spans="1:1" ht="12.75">
      <c r="A388" s="18"/>
    </row>
    <row r="389" spans="1:1" ht="12.75">
      <c r="A389" s="18"/>
    </row>
    <row r="390" spans="1:1" ht="12.75">
      <c r="A390" s="18"/>
    </row>
    <row r="391" spans="1:1" ht="12.75">
      <c r="A391" s="18"/>
    </row>
    <row r="392" spans="1:1" ht="12.75">
      <c r="A392" s="18"/>
    </row>
    <row r="393" spans="1:1" ht="12.75">
      <c r="A393" s="18"/>
    </row>
    <row r="394" spans="1:1" ht="12.75">
      <c r="A394" s="18"/>
    </row>
    <row r="395" spans="1:1" ht="12.75">
      <c r="A395" s="18"/>
    </row>
    <row r="396" spans="1:1" ht="12.75">
      <c r="A396" s="18"/>
    </row>
    <row r="397" spans="1:1" ht="12.75">
      <c r="A397" s="18"/>
    </row>
    <row r="398" spans="1:1" ht="12.75">
      <c r="A398" s="18"/>
    </row>
    <row r="399" spans="1:1" ht="12.75">
      <c r="A399" s="18"/>
    </row>
    <row r="400" spans="1:1" ht="12.75">
      <c r="A400" s="18"/>
    </row>
    <row r="401" spans="1:1" ht="12.75">
      <c r="A401" s="18"/>
    </row>
    <row r="402" spans="1:1" ht="12.75">
      <c r="A402" s="18"/>
    </row>
    <row r="403" spans="1:1" ht="12.75">
      <c r="A403" s="18"/>
    </row>
    <row r="404" spans="1:1" ht="12.75">
      <c r="A404" s="18"/>
    </row>
    <row r="405" spans="1:1" ht="12.75">
      <c r="A405" s="18"/>
    </row>
    <row r="406" spans="1:1" ht="12.75">
      <c r="A406" s="18"/>
    </row>
    <row r="407" spans="1:1" ht="12.75">
      <c r="A407" s="18"/>
    </row>
    <row r="408" spans="1:1" ht="12.75">
      <c r="A408" s="18"/>
    </row>
    <row r="409" spans="1:1" ht="12.75">
      <c r="A409" s="18"/>
    </row>
    <row r="410" spans="1:1" ht="12.75">
      <c r="A410" s="18"/>
    </row>
    <row r="411" spans="1:1" ht="12.75">
      <c r="A411" s="18"/>
    </row>
    <row r="412" spans="1:1" ht="12.75">
      <c r="A412" s="18"/>
    </row>
    <row r="413" spans="1:1" ht="12.75">
      <c r="A413" s="18"/>
    </row>
    <row r="414" spans="1:1" ht="12.75">
      <c r="A414" s="18"/>
    </row>
    <row r="415" spans="1:1" ht="12.75">
      <c r="A415" s="18"/>
    </row>
    <row r="416" spans="1:1" ht="12.75">
      <c r="A416" s="18"/>
    </row>
    <row r="417" spans="1:1" ht="12.75">
      <c r="A417" s="18"/>
    </row>
    <row r="418" spans="1:1" ht="12.75">
      <c r="A418" s="18"/>
    </row>
    <row r="419" spans="1:1" ht="12.75">
      <c r="A419" s="18"/>
    </row>
    <row r="420" spans="1:1" ht="12.75">
      <c r="A420" s="18"/>
    </row>
    <row r="421" spans="1:1" ht="12.75">
      <c r="A421" s="18"/>
    </row>
    <row r="422" spans="1:1" ht="12.75">
      <c r="A422" s="18"/>
    </row>
    <row r="423" spans="1:1" ht="12.75">
      <c r="A423" s="18"/>
    </row>
    <row r="424" spans="1:1" ht="12.75">
      <c r="A424" s="18"/>
    </row>
    <row r="425" spans="1:1" ht="12.75">
      <c r="A425" s="18"/>
    </row>
    <row r="426" spans="1:1" ht="12.75">
      <c r="A426" s="18"/>
    </row>
    <row r="427" spans="1:1" ht="12.75">
      <c r="A427" s="18"/>
    </row>
    <row r="428" spans="1:1" ht="12.75">
      <c r="A428" s="18"/>
    </row>
    <row r="429" spans="1:1" ht="12.75">
      <c r="A429" s="18"/>
    </row>
    <row r="430" spans="1:1" ht="12.75">
      <c r="A430" s="18"/>
    </row>
    <row r="431" spans="1:1" ht="12.75">
      <c r="A431" s="18"/>
    </row>
    <row r="432" spans="1:1" ht="12.75">
      <c r="A432" s="18"/>
    </row>
    <row r="433" spans="1:1" ht="12.75">
      <c r="A433" s="18"/>
    </row>
    <row r="434" spans="1:1" ht="12.75">
      <c r="A434" s="18"/>
    </row>
    <row r="435" spans="1:1" ht="12.75">
      <c r="A435" s="18"/>
    </row>
    <row r="436" spans="1:1" ht="12.75">
      <c r="A436" s="18"/>
    </row>
    <row r="437" spans="1:1" ht="12.75">
      <c r="A437" s="18"/>
    </row>
    <row r="438" spans="1:1" ht="12.75">
      <c r="A438" s="18"/>
    </row>
    <row r="439" spans="1:1" ht="12.75">
      <c r="A439" s="18"/>
    </row>
    <row r="440" spans="1:1" ht="12.75">
      <c r="A440" s="18"/>
    </row>
    <row r="441" spans="1:1" ht="12.75">
      <c r="A441" s="18"/>
    </row>
    <row r="442" spans="1:1" ht="12.75">
      <c r="A442" s="18"/>
    </row>
    <row r="443" spans="1:1" ht="12.75">
      <c r="A443" s="18"/>
    </row>
    <row r="444" spans="1:1" ht="12.75">
      <c r="A444" s="18"/>
    </row>
    <row r="445" spans="1:1" ht="12.75">
      <c r="A445" s="18"/>
    </row>
    <row r="446" spans="1:1" ht="12.75">
      <c r="A446" s="18"/>
    </row>
    <row r="447" spans="1:1" ht="12.75">
      <c r="A447" s="18"/>
    </row>
    <row r="448" spans="1:1" ht="12.75">
      <c r="A448" s="18"/>
    </row>
    <row r="449" spans="1:1" ht="12.75">
      <c r="A449" s="18"/>
    </row>
    <row r="450" spans="1:1" ht="12.75">
      <c r="A450" s="18"/>
    </row>
    <row r="451" spans="1:1" ht="12.75">
      <c r="A451" s="18"/>
    </row>
    <row r="452" spans="1:1" ht="12.75">
      <c r="A452" s="18"/>
    </row>
    <row r="453" spans="1:1" ht="12.75">
      <c r="A453" s="18"/>
    </row>
    <row r="454" spans="1:1" ht="12.75">
      <c r="A454" s="18"/>
    </row>
    <row r="455" spans="1:1" ht="12.75">
      <c r="A455" s="18"/>
    </row>
    <row r="456" spans="1:1" ht="12.75">
      <c r="A456" s="18"/>
    </row>
    <row r="457" spans="1:1" ht="12.75">
      <c r="A457" s="18"/>
    </row>
    <row r="458" spans="1:1" ht="12.75">
      <c r="A458" s="18"/>
    </row>
    <row r="459" spans="1:1" ht="12.75">
      <c r="A459" s="18"/>
    </row>
    <row r="460" spans="1:1" ht="12.75">
      <c r="A460" s="18"/>
    </row>
    <row r="461" spans="1:1" ht="12.75">
      <c r="A461" s="18"/>
    </row>
    <row r="462" spans="1:1" ht="12.75">
      <c r="A462" s="18"/>
    </row>
    <row r="463" spans="1:1" ht="12.75">
      <c r="A463" s="18"/>
    </row>
    <row r="464" spans="1:1" ht="12.75">
      <c r="A464" s="18"/>
    </row>
    <row r="465" spans="1:1" ht="12.75">
      <c r="A465" s="18"/>
    </row>
    <row r="466" spans="1:1" ht="12.75">
      <c r="A466" s="18"/>
    </row>
    <row r="467" spans="1:1" ht="12.75">
      <c r="A467" s="18"/>
    </row>
    <row r="468" spans="1:1" ht="12.75">
      <c r="A468" s="18"/>
    </row>
    <row r="469" spans="1:1" ht="12.75">
      <c r="A469" s="18"/>
    </row>
    <row r="470" spans="1:1" ht="12.75">
      <c r="A470" s="18"/>
    </row>
    <row r="471" spans="1:1" ht="12.75">
      <c r="A471" s="18"/>
    </row>
    <row r="472" spans="1:1" ht="12.75">
      <c r="A472" s="18"/>
    </row>
    <row r="473" spans="1:1" ht="12.75">
      <c r="A473" s="18"/>
    </row>
    <row r="474" spans="1:1" ht="12.75">
      <c r="A474" s="18"/>
    </row>
    <row r="475" spans="1:1" ht="12.75">
      <c r="A475" s="18"/>
    </row>
    <row r="476" spans="1:1" ht="12.75">
      <c r="A476" s="18"/>
    </row>
    <row r="477" spans="1:1" ht="12.75">
      <c r="A477" s="18"/>
    </row>
    <row r="478" spans="1:1" ht="12.75">
      <c r="A478" s="18"/>
    </row>
    <row r="479" spans="1:1" ht="12.75">
      <c r="A479" s="18"/>
    </row>
    <row r="480" spans="1:1" ht="12.75">
      <c r="A480" s="18"/>
    </row>
    <row r="481" spans="1:1" ht="12.75">
      <c r="A481" s="18"/>
    </row>
    <row r="482" spans="1:1" ht="12.75">
      <c r="A482" s="18"/>
    </row>
    <row r="483" spans="1:1" ht="12.75">
      <c r="A483" s="18"/>
    </row>
    <row r="484" spans="1:1" ht="12.75">
      <c r="A484" s="18"/>
    </row>
    <row r="485" spans="1:1" ht="12.75">
      <c r="A485" s="18"/>
    </row>
    <row r="486" spans="1:1" ht="12.75">
      <c r="A486" s="18"/>
    </row>
    <row r="487" spans="1:1" ht="12.75">
      <c r="A487" s="18"/>
    </row>
    <row r="488" spans="1:1" ht="12.75">
      <c r="A488" s="18"/>
    </row>
    <row r="489" spans="1:1" ht="12.75">
      <c r="A489" s="18"/>
    </row>
    <row r="490" spans="1:1" ht="12.75">
      <c r="A490" s="18"/>
    </row>
    <row r="491" spans="1:1" ht="12.75">
      <c r="A491" s="18"/>
    </row>
    <row r="492" spans="1:1" ht="12.75">
      <c r="A492" s="18"/>
    </row>
    <row r="493" spans="1:1" ht="12.75">
      <c r="A493" s="18"/>
    </row>
    <row r="494" spans="1:1" ht="12.75">
      <c r="A494" s="18"/>
    </row>
    <row r="495" spans="1:1" ht="12.75">
      <c r="A495" s="18"/>
    </row>
    <row r="496" spans="1:1" ht="12.75">
      <c r="A496" s="18"/>
    </row>
    <row r="497" spans="1:1" ht="12.75">
      <c r="A497" s="18"/>
    </row>
    <row r="498" spans="1:1" ht="12.75">
      <c r="A498" s="18"/>
    </row>
    <row r="499" spans="1:1" ht="12.75">
      <c r="A499" s="18"/>
    </row>
    <row r="500" spans="1:1" ht="12.75">
      <c r="A500" s="18"/>
    </row>
    <row r="501" spans="1:1" ht="12.75">
      <c r="A501" s="18"/>
    </row>
    <row r="502" spans="1:1" ht="12.75">
      <c r="A502" s="18"/>
    </row>
    <row r="503" spans="1:1" ht="12.75">
      <c r="A503" s="18"/>
    </row>
    <row r="504" spans="1:1" ht="12.75">
      <c r="A504" s="18"/>
    </row>
    <row r="505" spans="1:1" ht="12.75">
      <c r="A505" s="18"/>
    </row>
    <row r="506" spans="1:1" ht="12.75">
      <c r="A506" s="18"/>
    </row>
    <row r="507" spans="1:1" ht="12.75">
      <c r="A507" s="18"/>
    </row>
    <row r="508" spans="1:1" ht="12.75">
      <c r="A508" s="18"/>
    </row>
    <row r="509" spans="1:1" ht="12.75">
      <c r="A509" s="18"/>
    </row>
    <row r="510" spans="1:1" ht="12.75">
      <c r="A510" s="18"/>
    </row>
    <row r="511" spans="1:1" ht="12.75">
      <c r="A511" s="18"/>
    </row>
    <row r="512" spans="1:1" ht="12.75">
      <c r="A512" s="18"/>
    </row>
    <row r="513" spans="1:1" ht="12.75">
      <c r="A513" s="18"/>
    </row>
    <row r="514" spans="1:1" ht="12.75">
      <c r="A514" s="18"/>
    </row>
    <row r="515" spans="1:1" ht="12.75">
      <c r="A515" s="18"/>
    </row>
    <row r="516" spans="1:1" ht="12.75">
      <c r="A516" s="18"/>
    </row>
    <row r="517" spans="1:1" ht="12.75">
      <c r="A517" s="18"/>
    </row>
    <row r="518" spans="1:1" ht="12.75">
      <c r="A518" s="18"/>
    </row>
    <row r="519" spans="1:1" ht="12.75">
      <c r="A519" s="18"/>
    </row>
    <row r="520" spans="1:1" ht="12.75">
      <c r="A520" s="18"/>
    </row>
    <row r="521" spans="1:1" ht="12.75">
      <c r="A521" s="18"/>
    </row>
    <row r="522" spans="1:1" ht="12.75">
      <c r="A522" s="18"/>
    </row>
    <row r="523" spans="1:1" ht="12.75">
      <c r="A523" s="18"/>
    </row>
    <row r="524" spans="1:1" ht="12.75">
      <c r="A524" s="18"/>
    </row>
    <row r="525" spans="1:1" ht="12.75">
      <c r="A525" s="18"/>
    </row>
    <row r="526" spans="1:1" ht="12.75">
      <c r="A526" s="18"/>
    </row>
    <row r="527" spans="1:1" ht="12.75">
      <c r="A527" s="18"/>
    </row>
    <row r="528" spans="1:1" ht="12.75">
      <c r="A528" s="18"/>
    </row>
    <row r="529" spans="1:1" ht="12.75">
      <c r="A529" s="18"/>
    </row>
    <row r="530" spans="1:1" ht="12.75">
      <c r="A530" s="18"/>
    </row>
    <row r="531" spans="1:1" ht="12.75">
      <c r="A531" s="18"/>
    </row>
    <row r="532" spans="1:1" ht="12.75">
      <c r="A532" s="18"/>
    </row>
    <row r="533" spans="1:1" ht="12.75">
      <c r="A533" s="18"/>
    </row>
    <row r="534" spans="1:1" ht="12.75">
      <c r="A534" s="18"/>
    </row>
    <row r="535" spans="1:1" ht="12.75">
      <c r="A535" s="18"/>
    </row>
    <row r="536" spans="1:1" ht="12.75">
      <c r="A536" s="18"/>
    </row>
    <row r="537" spans="1:1" ht="12.75">
      <c r="A537" s="18"/>
    </row>
    <row r="538" spans="1:1" ht="12.75">
      <c r="A538" s="18"/>
    </row>
    <row r="539" spans="1:1" ht="12.75">
      <c r="A539" s="18"/>
    </row>
    <row r="540" spans="1:1" ht="12.75">
      <c r="A540" s="18"/>
    </row>
    <row r="541" spans="1:1" ht="12.75">
      <c r="A541" s="18"/>
    </row>
    <row r="542" spans="1:1" ht="12.75">
      <c r="A542" s="18"/>
    </row>
    <row r="543" spans="1:1" ht="12.75">
      <c r="A543" s="18"/>
    </row>
    <row r="544" spans="1:1" ht="12.75">
      <c r="A544" s="18"/>
    </row>
    <row r="545" spans="1:1" ht="12.75">
      <c r="A545" s="18"/>
    </row>
    <row r="546" spans="1:1" ht="12.75">
      <c r="A546" s="18"/>
    </row>
    <row r="547" spans="1:1" ht="12.75">
      <c r="A547" s="18"/>
    </row>
    <row r="548" spans="1:1" ht="12.75">
      <c r="A548" s="18"/>
    </row>
    <row r="549" spans="1:1" ht="12.75">
      <c r="A549" s="18"/>
    </row>
    <row r="550" spans="1:1" ht="12.75">
      <c r="A550" s="18"/>
    </row>
    <row r="551" spans="1:1" ht="12.75">
      <c r="A551" s="18"/>
    </row>
    <row r="552" spans="1:1" ht="12.75">
      <c r="A552" s="18"/>
    </row>
    <row r="553" spans="1:1" ht="12.75">
      <c r="A553" s="18"/>
    </row>
    <row r="554" spans="1:1" ht="12.75">
      <c r="A554" s="18"/>
    </row>
    <row r="555" spans="1:1" ht="12.75">
      <c r="A555" s="18"/>
    </row>
    <row r="556" spans="1:1" ht="12.75">
      <c r="A556" s="18"/>
    </row>
    <row r="557" spans="1:1" ht="12.75">
      <c r="A557" s="18"/>
    </row>
    <row r="558" spans="1:1" ht="12.75">
      <c r="A558" s="18"/>
    </row>
    <row r="559" spans="1:1" ht="12.75">
      <c r="A559" s="18"/>
    </row>
    <row r="560" spans="1:1" ht="12.75">
      <c r="A560" s="18"/>
    </row>
    <row r="561" spans="1:1" ht="12.75">
      <c r="A561" s="18"/>
    </row>
    <row r="562" spans="1:1" ht="12.75">
      <c r="A562" s="18"/>
    </row>
    <row r="563" spans="1:1" ht="12.75">
      <c r="A563" s="18"/>
    </row>
    <row r="564" spans="1:1" ht="12.75">
      <c r="A564" s="18"/>
    </row>
    <row r="565" spans="1:1" ht="12.75">
      <c r="A565" s="18"/>
    </row>
    <row r="566" spans="1:1" ht="12.75">
      <c r="A566" s="18"/>
    </row>
    <row r="567" spans="1:1" ht="12.75">
      <c r="A567" s="18"/>
    </row>
    <row r="568" spans="1:1" ht="12.75">
      <c r="A568" s="18"/>
    </row>
    <row r="569" spans="1:1" ht="12.75">
      <c r="A569" s="18"/>
    </row>
    <row r="570" spans="1:1" ht="12.75">
      <c r="A570" s="18"/>
    </row>
    <row r="571" spans="1:1" ht="12.75">
      <c r="A571" s="18"/>
    </row>
    <row r="572" spans="1:1" ht="12.75">
      <c r="A572" s="18"/>
    </row>
    <row r="573" spans="1:1" ht="12.75">
      <c r="A573" s="18"/>
    </row>
    <row r="574" spans="1:1" ht="12.75">
      <c r="A574" s="18"/>
    </row>
    <row r="575" spans="1:1" ht="12.75">
      <c r="A575" s="18"/>
    </row>
    <row r="576" spans="1:1" ht="12.75">
      <c r="A576" s="18"/>
    </row>
    <row r="577" spans="1:1" ht="12.75">
      <c r="A577" s="18"/>
    </row>
    <row r="578" spans="1:1" ht="12.75">
      <c r="A578" s="18"/>
    </row>
    <row r="579" spans="1:1" ht="12.75">
      <c r="A579" s="18"/>
    </row>
    <row r="580" spans="1:1" ht="12.75">
      <c r="A580" s="18"/>
    </row>
    <row r="581" spans="1:1" ht="12.75">
      <c r="A581" s="18"/>
    </row>
    <row r="582" spans="1:1" ht="12.75">
      <c r="A582" s="18"/>
    </row>
    <row r="583" spans="1:1" ht="12.75">
      <c r="A583" s="18"/>
    </row>
    <row r="584" spans="1:1" ht="12.75">
      <c r="A584" s="18"/>
    </row>
    <row r="585" spans="1:1" ht="12.75">
      <c r="A585" s="18"/>
    </row>
    <row r="586" spans="1:1" ht="12.75">
      <c r="A586" s="18"/>
    </row>
    <row r="587" spans="1:1" ht="12.75">
      <c r="A587" s="18"/>
    </row>
    <row r="588" spans="1:1" ht="12.75">
      <c r="A588" s="18"/>
    </row>
    <row r="589" spans="1:1" ht="12.75">
      <c r="A589" s="18"/>
    </row>
    <row r="590" spans="1:1" ht="12.75">
      <c r="A590" s="18"/>
    </row>
    <row r="591" spans="1:1" ht="12.75">
      <c r="A591" s="18"/>
    </row>
    <row r="592" spans="1:1" ht="12.75">
      <c r="A592" s="18"/>
    </row>
    <row r="593" spans="1:1" ht="12.75">
      <c r="A593" s="18"/>
    </row>
    <row r="594" spans="1:1" ht="12.75">
      <c r="A594" s="18"/>
    </row>
    <row r="595" spans="1:1" ht="12.75">
      <c r="A595" s="18"/>
    </row>
    <row r="596" spans="1:1" ht="12.75">
      <c r="A596" s="18"/>
    </row>
    <row r="597" spans="1:1" ht="12.75">
      <c r="A597" s="18"/>
    </row>
    <row r="598" spans="1:1" ht="12.75">
      <c r="A598" s="18"/>
    </row>
    <row r="599" spans="1:1" ht="12.75">
      <c r="A599" s="18"/>
    </row>
    <row r="600" spans="1:1" ht="12.75">
      <c r="A600" s="18"/>
    </row>
    <row r="601" spans="1:1" ht="12.75">
      <c r="A601" s="18"/>
    </row>
    <row r="602" spans="1:1" ht="12.75">
      <c r="A602" s="18"/>
    </row>
    <row r="603" spans="1:1" ht="12.75">
      <c r="A603" s="18"/>
    </row>
    <row r="604" spans="1:1" ht="12.75">
      <c r="A604" s="18"/>
    </row>
    <row r="605" spans="1:1" ht="12.75">
      <c r="A605" s="18"/>
    </row>
    <row r="606" spans="1:1" ht="12.75">
      <c r="A606" s="18"/>
    </row>
    <row r="607" spans="1:1" ht="12.75">
      <c r="A607" s="18"/>
    </row>
    <row r="608" spans="1:1" ht="12.75">
      <c r="A608" s="18"/>
    </row>
    <row r="609" spans="1:1" ht="12.75">
      <c r="A609" s="18"/>
    </row>
    <row r="610" spans="1:1" ht="12.75">
      <c r="A610" s="18"/>
    </row>
    <row r="611" spans="1:1" ht="12.75">
      <c r="A611" s="18"/>
    </row>
    <row r="612" spans="1:1" ht="12.75">
      <c r="A612" s="18"/>
    </row>
    <row r="613" spans="1:1" ht="12.75">
      <c r="A613" s="18"/>
    </row>
    <row r="614" spans="1:1" ht="12.75">
      <c r="A614" s="18"/>
    </row>
    <row r="615" spans="1:1" ht="12.75">
      <c r="A615" s="18"/>
    </row>
    <row r="616" spans="1:1" ht="12.75">
      <c r="A616" s="18"/>
    </row>
    <row r="617" spans="1:1" ht="12.75">
      <c r="A617" s="18"/>
    </row>
    <row r="618" spans="1:1" ht="12.75">
      <c r="A618" s="18"/>
    </row>
    <row r="619" spans="1:1" ht="12.75">
      <c r="A619" s="18"/>
    </row>
    <row r="620" spans="1:1" ht="12.75">
      <c r="A620" s="18"/>
    </row>
    <row r="621" spans="1:1" ht="12.75">
      <c r="A621" s="18"/>
    </row>
    <row r="622" spans="1:1" ht="12.75">
      <c r="A622" s="18"/>
    </row>
    <row r="623" spans="1:1" ht="12.75">
      <c r="A623" s="18"/>
    </row>
    <row r="624" spans="1:1" ht="12.75">
      <c r="A624" s="18"/>
    </row>
    <row r="625" spans="1:1" ht="12.75">
      <c r="A625" s="18"/>
    </row>
    <row r="626" spans="1:1" ht="12.75">
      <c r="A626" s="18"/>
    </row>
    <row r="627" spans="1:1" ht="12.75">
      <c r="A627" s="18"/>
    </row>
    <row r="628" spans="1:1" ht="12.75">
      <c r="A628" s="18"/>
    </row>
    <row r="629" spans="1:1" ht="12.75">
      <c r="A629" s="18"/>
    </row>
    <row r="630" spans="1:1" ht="12.75">
      <c r="A630" s="18"/>
    </row>
    <row r="631" spans="1:1" ht="12.75">
      <c r="A631" s="18"/>
    </row>
    <row r="632" spans="1:1" ht="12.75">
      <c r="A632" s="18"/>
    </row>
    <row r="633" spans="1:1" ht="12.75">
      <c r="A633" s="18"/>
    </row>
    <row r="634" spans="1:1" ht="12.75">
      <c r="A634" s="18"/>
    </row>
    <row r="635" spans="1:1" ht="12.75">
      <c r="A635" s="18"/>
    </row>
    <row r="636" spans="1:1" ht="12.75">
      <c r="A636" s="18"/>
    </row>
    <row r="637" spans="1:1" ht="12.75">
      <c r="A637" s="18"/>
    </row>
    <row r="638" spans="1:1" ht="12.75">
      <c r="A638" s="18"/>
    </row>
    <row r="639" spans="1:1" ht="12.75">
      <c r="A639" s="18"/>
    </row>
    <row r="640" spans="1:1" ht="12.75">
      <c r="A640" s="18"/>
    </row>
    <row r="641" spans="1:1" ht="12.75">
      <c r="A641" s="18"/>
    </row>
    <row r="642" spans="1:1" ht="12.75">
      <c r="A642" s="18"/>
    </row>
    <row r="643" spans="1:1" ht="12.75">
      <c r="A643" s="18"/>
    </row>
    <row r="644" spans="1:1" ht="12.75">
      <c r="A644" s="18"/>
    </row>
    <row r="645" spans="1:1" ht="12.75">
      <c r="A645" s="18"/>
    </row>
    <row r="646" spans="1:1" ht="12.75">
      <c r="A646" s="18"/>
    </row>
    <row r="647" spans="1:1" ht="12.75">
      <c r="A647" s="18"/>
    </row>
    <row r="648" spans="1:1" ht="12.75">
      <c r="A648" s="18"/>
    </row>
    <row r="649" spans="1:1" ht="12.75">
      <c r="A649" s="18"/>
    </row>
    <row r="650" spans="1:1" ht="12.75">
      <c r="A650" s="18"/>
    </row>
    <row r="651" spans="1:1" ht="12.75">
      <c r="A651" s="18"/>
    </row>
    <row r="652" spans="1:1" ht="12.75">
      <c r="A652" s="18"/>
    </row>
    <row r="653" spans="1:1" ht="12.75">
      <c r="A653" s="18"/>
    </row>
    <row r="654" spans="1:1" ht="12.75">
      <c r="A654" s="18"/>
    </row>
    <row r="655" spans="1:1" ht="12.75">
      <c r="A655" s="18"/>
    </row>
    <row r="656" spans="1:1" ht="12.75">
      <c r="A656" s="18"/>
    </row>
    <row r="657" spans="1:1" ht="12.75">
      <c r="A657" s="18"/>
    </row>
    <row r="658" spans="1:1" ht="12.75">
      <c r="A658" s="18"/>
    </row>
    <row r="659" spans="1:1" ht="12.75">
      <c r="A659" s="18"/>
    </row>
    <row r="660" spans="1:1" ht="12.75">
      <c r="A660" s="18"/>
    </row>
    <row r="661" spans="1:1" ht="12.75">
      <c r="A661" s="18"/>
    </row>
    <row r="662" spans="1:1" ht="12.75">
      <c r="A662" s="18"/>
    </row>
    <row r="663" spans="1:1" ht="12.75">
      <c r="A663" s="18"/>
    </row>
    <row r="664" spans="1:1" ht="12.75">
      <c r="A664" s="18"/>
    </row>
    <row r="665" spans="1:1" ht="12.75">
      <c r="A665" s="18"/>
    </row>
    <row r="666" spans="1:1" ht="12.75">
      <c r="A666" s="18"/>
    </row>
    <row r="667" spans="1:1" ht="12.75">
      <c r="A667" s="18"/>
    </row>
    <row r="668" spans="1:1" ht="12.75">
      <c r="A668" s="18"/>
    </row>
    <row r="669" spans="1:1" ht="12.75">
      <c r="A669" s="18"/>
    </row>
    <row r="670" spans="1:1" ht="12.75">
      <c r="A670" s="18"/>
    </row>
    <row r="671" spans="1:1" ht="12.75">
      <c r="A671" s="18"/>
    </row>
    <row r="672" spans="1:1" ht="12.75">
      <c r="A672" s="18"/>
    </row>
    <row r="673" spans="1:1" ht="12.75">
      <c r="A673" s="18"/>
    </row>
    <row r="674" spans="1:1" ht="12.75">
      <c r="A674" s="18"/>
    </row>
    <row r="675" spans="1:1" ht="12.75">
      <c r="A675" s="18"/>
    </row>
    <row r="676" spans="1:1" ht="12.75">
      <c r="A676" s="18"/>
    </row>
    <row r="677" spans="1:1" ht="12.75">
      <c r="A677" s="18"/>
    </row>
    <row r="678" spans="1:1" ht="12.75">
      <c r="A678" s="18"/>
    </row>
    <row r="679" spans="1:1" ht="12.75">
      <c r="A679" s="18"/>
    </row>
    <row r="680" spans="1:1" ht="12.75">
      <c r="A680" s="18"/>
    </row>
    <row r="681" spans="1:1" ht="12.75">
      <c r="A681" s="18"/>
    </row>
    <row r="682" spans="1:1" ht="12.75">
      <c r="A682" s="18"/>
    </row>
    <row r="683" spans="1:1" ht="12.75">
      <c r="A683" s="18"/>
    </row>
    <row r="684" spans="1:1" ht="12.75">
      <c r="A684" s="18"/>
    </row>
    <row r="685" spans="1:1" ht="12.75">
      <c r="A685" s="18"/>
    </row>
    <row r="686" spans="1:1" ht="12.75">
      <c r="A686" s="18"/>
    </row>
    <row r="687" spans="1:1" ht="12.75">
      <c r="A687" s="18"/>
    </row>
    <row r="688" spans="1:1" ht="12.75">
      <c r="A688" s="18"/>
    </row>
    <row r="689" spans="1:1" ht="12.75">
      <c r="A689" s="18"/>
    </row>
    <row r="690" spans="1:1" ht="12.75">
      <c r="A690" s="18"/>
    </row>
    <row r="691" spans="1:1" ht="12.75">
      <c r="A691" s="18"/>
    </row>
    <row r="692" spans="1:1" ht="12.75">
      <c r="A692" s="18"/>
    </row>
    <row r="693" spans="1:1" ht="12.75">
      <c r="A693" s="18"/>
    </row>
    <row r="694" spans="1:1" ht="12.75">
      <c r="A694" s="18"/>
    </row>
    <row r="695" spans="1:1" ht="12.75">
      <c r="A695" s="18"/>
    </row>
    <row r="696" spans="1:1" ht="12.75">
      <c r="A696" s="18"/>
    </row>
    <row r="697" spans="1:1" ht="12.75">
      <c r="A697" s="18"/>
    </row>
    <row r="698" spans="1:1" ht="12.75">
      <c r="A698" s="18"/>
    </row>
    <row r="699" spans="1:1" ht="12.75">
      <c r="A699" s="18"/>
    </row>
    <row r="700" spans="1:1" ht="12.75">
      <c r="A700" s="18"/>
    </row>
    <row r="701" spans="1:1" ht="12.75">
      <c r="A701" s="18"/>
    </row>
    <row r="702" spans="1:1" ht="12.75">
      <c r="A702" s="18"/>
    </row>
    <row r="703" spans="1:1" ht="12.75">
      <c r="A703" s="18"/>
    </row>
    <row r="704" spans="1:1" ht="12.75">
      <c r="A704" s="18"/>
    </row>
    <row r="705" spans="1:1" ht="12.75">
      <c r="A705" s="18"/>
    </row>
    <row r="706" spans="1:1" ht="12.75">
      <c r="A706" s="18"/>
    </row>
    <row r="707" spans="1:1" ht="12.75">
      <c r="A707" s="18"/>
    </row>
    <row r="708" spans="1:1" ht="12.75">
      <c r="A708" s="18"/>
    </row>
    <row r="709" spans="1:1" ht="12.75">
      <c r="A709" s="18"/>
    </row>
    <row r="710" spans="1:1" ht="12.75">
      <c r="A710" s="18"/>
    </row>
    <row r="711" spans="1:1" ht="12.75">
      <c r="A711" s="18"/>
    </row>
    <row r="712" spans="1:1" ht="12.75">
      <c r="A712" s="18"/>
    </row>
    <row r="713" spans="1:1" ht="12.75">
      <c r="A713" s="18"/>
    </row>
    <row r="714" spans="1:1" ht="12.75">
      <c r="A714" s="18"/>
    </row>
    <row r="715" spans="1:1" ht="12.75">
      <c r="A715" s="18"/>
    </row>
    <row r="716" spans="1:1" ht="12.75">
      <c r="A716" s="18"/>
    </row>
    <row r="717" spans="1:1" ht="12.75">
      <c r="A717" s="18"/>
    </row>
    <row r="718" spans="1:1" ht="12.75">
      <c r="A718" s="18"/>
    </row>
    <row r="719" spans="1:1" ht="12.75">
      <c r="A719" s="18"/>
    </row>
    <row r="720" spans="1:1" ht="12.75">
      <c r="A720" s="18"/>
    </row>
    <row r="721" spans="1:1" ht="12.75">
      <c r="A721" s="18"/>
    </row>
    <row r="722" spans="1:1" ht="12.75">
      <c r="A722" s="18"/>
    </row>
    <row r="723" spans="1:1" ht="12.75">
      <c r="A723" s="18"/>
    </row>
    <row r="724" spans="1:1" ht="12.75">
      <c r="A724" s="18"/>
    </row>
    <row r="725" spans="1:1" ht="12.75">
      <c r="A725" s="18"/>
    </row>
    <row r="726" spans="1:1" ht="12.75">
      <c r="A726" s="18"/>
    </row>
    <row r="727" spans="1:1" ht="12.75">
      <c r="A727" s="18"/>
    </row>
    <row r="728" spans="1:1" ht="12.75">
      <c r="A728" s="18"/>
    </row>
    <row r="729" spans="1:1" ht="12.75">
      <c r="A729" s="18"/>
    </row>
    <row r="730" spans="1:1" ht="12.75">
      <c r="A730" s="18"/>
    </row>
    <row r="731" spans="1:1" ht="12.75">
      <c r="A731" s="18"/>
    </row>
    <row r="732" spans="1:1" ht="12.75">
      <c r="A732" s="18"/>
    </row>
    <row r="733" spans="1:1" ht="12.75">
      <c r="A733" s="18"/>
    </row>
    <row r="734" spans="1:1" ht="12.75">
      <c r="A734" s="18"/>
    </row>
    <row r="735" spans="1:1" ht="12.75">
      <c r="A735" s="18"/>
    </row>
    <row r="736" spans="1:1" ht="12.75">
      <c r="A736" s="18"/>
    </row>
    <row r="737" spans="1:1" ht="12.75">
      <c r="A737" s="18"/>
    </row>
    <row r="738" spans="1:1" ht="12.75">
      <c r="A738" s="18"/>
    </row>
    <row r="739" spans="1:1" ht="12.75">
      <c r="A739" s="18"/>
    </row>
    <row r="740" spans="1:1" ht="12.75">
      <c r="A740" s="18"/>
    </row>
    <row r="741" spans="1:1" ht="12.75">
      <c r="A741" s="18"/>
    </row>
    <row r="742" spans="1:1" ht="12.75">
      <c r="A742" s="18"/>
    </row>
    <row r="743" spans="1:1" ht="12.75">
      <c r="A743" s="18"/>
    </row>
    <row r="744" spans="1:1" ht="12.75">
      <c r="A744" s="18"/>
    </row>
    <row r="745" spans="1:1" ht="12.75">
      <c r="A745" s="18"/>
    </row>
    <row r="746" spans="1:1" ht="12.75">
      <c r="A746" s="18"/>
    </row>
    <row r="747" spans="1:1" ht="12.75">
      <c r="A747" s="18"/>
    </row>
    <row r="748" spans="1:1" ht="12.75">
      <c r="A748" s="18"/>
    </row>
    <row r="749" spans="1:1" ht="12.75">
      <c r="A749" s="18"/>
    </row>
    <row r="750" spans="1:1" ht="12.75">
      <c r="A750" s="18"/>
    </row>
    <row r="751" spans="1:1" ht="12.75">
      <c r="A751" s="18"/>
    </row>
    <row r="752" spans="1:1" ht="12.75">
      <c r="A752" s="18"/>
    </row>
    <row r="753" spans="1:1" ht="12.75">
      <c r="A753" s="18"/>
    </row>
    <row r="754" spans="1:1" ht="12.75">
      <c r="A754" s="18"/>
    </row>
    <row r="755" spans="1:1" ht="12.75">
      <c r="A755" s="18"/>
    </row>
    <row r="756" spans="1:1" ht="12.75">
      <c r="A756" s="18"/>
    </row>
    <row r="757" spans="1:1" ht="12.75">
      <c r="A757" s="18"/>
    </row>
    <row r="758" spans="1:1" ht="12.75">
      <c r="A758" s="18"/>
    </row>
    <row r="759" spans="1:1" ht="12.75">
      <c r="A759" s="18"/>
    </row>
    <row r="760" spans="1:1" ht="12.75">
      <c r="A760" s="18"/>
    </row>
    <row r="761" spans="1:1" ht="12.75">
      <c r="A761" s="18"/>
    </row>
    <row r="762" spans="1:1" ht="12.75">
      <c r="A762" s="18"/>
    </row>
    <row r="763" spans="1:1" ht="12.75">
      <c r="A763" s="18"/>
    </row>
    <row r="764" spans="1:1" ht="12.75">
      <c r="A764" s="18"/>
    </row>
    <row r="765" spans="1:1" ht="12.75">
      <c r="A765" s="18"/>
    </row>
    <row r="766" spans="1:1" ht="12.75">
      <c r="A766" s="18"/>
    </row>
    <row r="767" spans="1:1" ht="12.75">
      <c r="A767" s="18"/>
    </row>
    <row r="768" spans="1:1" ht="12.75">
      <c r="A768" s="18"/>
    </row>
    <row r="769" spans="1:1" ht="12.75">
      <c r="A769" s="18"/>
    </row>
    <row r="770" spans="1:1" ht="12.75">
      <c r="A770" s="18"/>
    </row>
    <row r="771" spans="1:1" ht="12.75">
      <c r="A771" s="18"/>
    </row>
    <row r="772" spans="1:1" ht="12.75">
      <c r="A772" s="18"/>
    </row>
    <row r="773" spans="1:1" ht="12.75">
      <c r="A773" s="18"/>
    </row>
    <row r="774" spans="1:1" ht="12.75">
      <c r="A774" s="18"/>
    </row>
    <row r="775" spans="1:1" ht="12.75">
      <c r="A775" s="18"/>
    </row>
    <row r="776" spans="1:1" ht="12.75">
      <c r="A776" s="18"/>
    </row>
    <row r="777" spans="1:1" ht="12.75">
      <c r="A777" s="18"/>
    </row>
    <row r="778" spans="1:1" ht="12.75">
      <c r="A778" s="18"/>
    </row>
    <row r="779" spans="1:1" ht="12.75">
      <c r="A779" s="18"/>
    </row>
    <row r="780" spans="1:1" ht="12.75">
      <c r="A780" s="18"/>
    </row>
    <row r="781" spans="1:1" ht="12.75">
      <c r="A781" s="18"/>
    </row>
    <row r="782" spans="1:1" ht="12.75">
      <c r="A782" s="18"/>
    </row>
    <row r="783" spans="1:1" ht="12.75">
      <c r="A783" s="18"/>
    </row>
    <row r="784" spans="1:1" ht="12.75">
      <c r="A784" s="18"/>
    </row>
    <row r="785" spans="1:1" ht="12.75">
      <c r="A785" s="18"/>
    </row>
    <row r="786" spans="1:1" ht="12.75">
      <c r="A786" s="18"/>
    </row>
    <row r="787" spans="1:1" ht="12.75">
      <c r="A787" s="18"/>
    </row>
    <row r="788" spans="1:1" ht="12.75">
      <c r="A788" s="18"/>
    </row>
    <row r="789" spans="1:1" ht="12.75">
      <c r="A789" s="18"/>
    </row>
    <row r="790" spans="1:1" ht="12.75">
      <c r="A790" s="18"/>
    </row>
    <row r="791" spans="1:1" ht="12.75">
      <c r="A791" s="18"/>
    </row>
    <row r="792" spans="1:1" ht="12.75">
      <c r="A792" s="18"/>
    </row>
    <row r="793" spans="1:1" ht="12.75">
      <c r="A793" s="18"/>
    </row>
    <row r="794" spans="1:1" ht="12.75">
      <c r="A794" s="18"/>
    </row>
    <row r="795" spans="1:1" ht="12.75">
      <c r="A795" s="18"/>
    </row>
    <row r="796" spans="1:1" ht="12.75">
      <c r="A796" s="18"/>
    </row>
    <row r="797" spans="1:1" ht="12.75">
      <c r="A797" s="18"/>
    </row>
    <row r="798" spans="1:1" ht="12.75">
      <c r="A798" s="18"/>
    </row>
    <row r="799" spans="1:1" ht="12.75">
      <c r="A799" s="18"/>
    </row>
    <row r="800" spans="1:1" ht="12.75">
      <c r="A800" s="18"/>
    </row>
    <row r="801" spans="1:1" ht="12.75">
      <c r="A801" s="18"/>
    </row>
    <row r="802" spans="1:1" ht="12.75">
      <c r="A802" s="18"/>
    </row>
    <row r="803" spans="1:1" ht="12.75">
      <c r="A803" s="18"/>
    </row>
    <row r="804" spans="1:1" ht="12.75">
      <c r="A804" s="18"/>
    </row>
    <row r="805" spans="1:1" ht="12.75">
      <c r="A805" s="18"/>
    </row>
    <row r="806" spans="1:1" ht="12.75">
      <c r="A806" s="18"/>
    </row>
    <row r="807" spans="1:1" ht="12.75">
      <c r="A807" s="18"/>
    </row>
    <row r="808" spans="1:1" ht="12.75">
      <c r="A808" s="18"/>
    </row>
    <row r="809" spans="1:1" ht="12.75">
      <c r="A809" s="18"/>
    </row>
    <row r="810" spans="1:1" ht="12.75">
      <c r="A810" s="18"/>
    </row>
    <row r="811" spans="1:1" ht="12.75">
      <c r="A811" s="18"/>
    </row>
    <row r="812" spans="1:1" ht="12.75">
      <c r="A812" s="18"/>
    </row>
    <row r="813" spans="1:1" ht="12.75">
      <c r="A813" s="18"/>
    </row>
    <row r="814" spans="1:1" ht="12.75">
      <c r="A814" s="18"/>
    </row>
    <row r="815" spans="1:1" ht="12.75">
      <c r="A815" s="18"/>
    </row>
    <row r="816" spans="1:1" ht="12.75">
      <c r="A816" s="18"/>
    </row>
    <row r="817" spans="1:1" ht="12.75">
      <c r="A817" s="18"/>
    </row>
    <row r="818" spans="1:1" ht="12.75">
      <c r="A818" s="18"/>
    </row>
    <row r="819" spans="1:1" ht="12.75">
      <c r="A819" s="18"/>
    </row>
    <row r="820" spans="1:1" ht="12.75">
      <c r="A820" s="18"/>
    </row>
    <row r="821" spans="1:1" ht="12.75">
      <c r="A821" s="18"/>
    </row>
    <row r="822" spans="1:1" ht="12.75">
      <c r="A822" s="18"/>
    </row>
    <row r="823" spans="1:1" ht="12.75">
      <c r="A823" s="18"/>
    </row>
    <row r="824" spans="1:1" ht="12.75">
      <c r="A824" s="18"/>
    </row>
    <row r="825" spans="1:1" ht="12.75">
      <c r="A825" s="18"/>
    </row>
    <row r="826" spans="1:1" ht="12.75">
      <c r="A826" s="18"/>
    </row>
    <row r="827" spans="1:1" ht="12.75">
      <c r="A827" s="18"/>
    </row>
    <row r="828" spans="1:1" ht="12.75">
      <c r="A828" s="18"/>
    </row>
    <row r="829" spans="1:1" ht="12.75">
      <c r="A829" s="18"/>
    </row>
    <row r="830" spans="1:1" ht="12.75">
      <c r="A830" s="18"/>
    </row>
    <row r="831" spans="1:1" ht="12.75">
      <c r="A831" s="18"/>
    </row>
    <row r="832" spans="1:1" ht="12.75">
      <c r="A832" s="18"/>
    </row>
    <row r="833" spans="1:1" ht="12.75">
      <c r="A833" s="18"/>
    </row>
    <row r="834" spans="1:1" ht="12.75">
      <c r="A834" s="18"/>
    </row>
    <row r="835" spans="1:1" ht="12.75">
      <c r="A835" s="18"/>
    </row>
    <row r="836" spans="1:1" ht="12.75">
      <c r="A836" s="18"/>
    </row>
    <row r="837" spans="1:1" ht="12.75">
      <c r="A837" s="18"/>
    </row>
    <row r="838" spans="1:1" ht="12.75">
      <c r="A838" s="18"/>
    </row>
    <row r="839" spans="1:1" ht="12.75">
      <c r="A839" s="18"/>
    </row>
    <row r="840" spans="1:1" ht="12.75">
      <c r="A840" s="18"/>
    </row>
    <row r="841" spans="1:1" ht="12.75">
      <c r="A841" s="18"/>
    </row>
    <row r="842" spans="1:1" ht="12.75">
      <c r="A842" s="18"/>
    </row>
    <row r="843" spans="1:1" ht="12.75">
      <c r="A843" s="18"/>
    </row>
    <row r="844" spans="1:1" ht="12.75">
      <c r="A844" s="18"/>
    </row>
    <row r="845" spans="1:1" ht="12.75">
      <c r="A845" s="18"/>
    </row>
    <row r="846" spans="1:1" ht="12.75">
      <c r="A846" s="18"/>
    </row>
    <row r="847" spans="1:1" ht="12.75">
      <c r="A847" s="18"/>
    </row>
    <row r="848" spans="1:1" ht="12.75">
      <c r="A848" s="18"/>
    </row>
    <row r="849" spans="1:1" ht="12.75">
      <c r="A849" s="18"/>
    </row>
    <row r="850" spans="1:1" ht="12.75">
      <c r="A850" s="18"/>
    </row>
    <row r="851" spans="1:1" ht="12.75">
      <c r="A851" s="18"/>
    </row>
    <row r="852" spans="1:1" ht="12.75">
      <c r="A852" s="18"/>
    </row>
    <row r="853" spans="1:1" ht="12.75">
      <c r="A853" s="18"/>
    </row>
    <row r="854" spans="1:1" ht="12.75">
      <c r="A854" s="18"/>
    </row>
    <row r="855" spans="1:1" ht="12.75">
      <c r="A855" s="18"/>
    </row>
    <row r="856" spans="1:1" ht="12.75">
      <c r="A856" s="18"/>
    </row>
    <row r="857" spans="1:1" ht="12.75">
      <c r="A857" s="18"/>
    </row>
    <row r="858" spans="1:1" ht="12.75">
      <c r="A858" s="18"/>
    </row>
    <row r="859" spans="1:1" ht="12.75">
      <c r="A859" s="18"/>
    </row>
    <row r="860" spans="1:1" ht="12.75">
      <c r="A860" s="18"/>
    </row>
    <row r="861" spans="1:1" ht="12.75">
      <c r="A861" s="18"/>
    </row>
    <row r="862" spans="1:1" ht="12.75">
      <c r="A862" s="18"/>
    </row>
    <row r="863" spans="1:1" ht="12.75">
      <c r="A863" s="18"/>
    </row>
    <row r="864" spans="1:1" ht="12.75">
      <c r="A864" s="18"/>
    </row>
    <row r="865" spans="1:1" ht="12.75">
      <c r="A865" s="18"/>
    </row>
    <row r="866" spans="1:1" ht="12.75">
      <c r="A866" s="18"/>
    </row>
    <row r="867" spans="1:1" ht="12.75">
      <c r="A867" s="18"/>
    </row>
    <row r="868" spans="1:1" ht="12.75">
      <c r="A868" s="18"/>
    </row>
    <row r="869" spans="1:1" ht="12.75">
      <c r="A869" s="18"/>
    </row>
    <row r="870" spans="1:1" ht="12.75">
      <c r="A870" s="18"/>
    </row>
    <row r="871" spans="1:1" ht="12.75">
      <c r="A871" s="18"/>
    </row>
    <row r="872" spans="1:1" ht="12.75">
      <c r="A872" s="18"/>
    </row>
    <row r="873" spans="1:1" ht="12.75">
      <c r="A873" s="18"/>
    </row>
    <row r="874" spans="1:1" ht="12.75">
      <c r="A874" s="18"/>
    </row>
    <row r="875" spans="1:1" ht="12.75">
      <c r="A875" s="18"/>
    </row>
    <row r="876" spans="1:1" ht="12.75">
      <c r="A876" s="18"/>
    </row>
    <row r="877" spans="1:1" ht="12.75">
      <c r="A877" s="18"/>
    </row>
    <row r="878" spans="1:1" ht="12.75">
      <c r="A878" s="18"/>
    </row>
    <row r="879" spans="1:1" ht="12.75">
      <c r="A879" s="18"/>
    </row>
    <row r="880" spans="1:1" ht="12.75">
      <c r="A880" s="18"/>
    </row>
    <row r="881" spans="1:1" ht="12.75">
      <c r="A881" s="18"/>
    </row>
    <row r="882" spans="1:1" ht="12.75">
      <c r="A882" s="18"/>
    </row>
    <row r="883" spans="1:1" ht="12.75">
      <c r="A883" s="18"/>
    </row>
    <row r="884" spans="1:1" ht="12.75">
      <c r="A884" s="18"/>
    </row>
    <row r="885" spans="1:1" ht="12.75">
      <c r="A885" s="18"/>
    </row>
    <row r="886" spans="1:1" ht="12.75">
      <c r="A886" s="18"/>
    </row>
    <row r="887" spans="1:1" ht="12.75">
      <c r="A887" s="18"/>
    </row>
    <row r="888" spans="1:1" ht="12.75">
      <c r="A888" s="18"/>
    </row>
    <row r="889" spans="1:1" ht="12.75">
      <c r="A889" s="18"/>
    </row>
    <row r="890" spans="1:1" ht="12.75">
      <c r="A890" s="18"/>
    </row>
    <row r="891" spans="1:1" ht="12.75">
      <c r="A891" s="18"/>
    </row>
    <row r="892" spans="1:1" ht="12.75">
      <c r="A892" s="18"/>
    </row>
    <row r="893" spans="1:1" ht="12.75">
      <c r="A893" s="18"/>
    </row>
    <row r="894" spans="1:1" ht="12.75">
      <c r="A894" s="18"/>
    </row>
    <row r="895" spans="1:1" ht="12.75">
      <c r="A895" s="18"/>
    </row>
    <row r="896" spans="1:1" ht="12.75">
      <c r="A896" s="18"/>
    </row>
    <row r="897" spans="1:1" ht="12.75">
      <c r="A897" s="18"/>
    </row>
    <row r="898" spans="1:1" ht="12.75">
      <c r="A898" s="18"/>
    </row>
    <row r="899" spans="1:1" ht="12.75">
      <c r="A899" s="18"/>
    </row>
    <row r="900" spans="1:1" ht="12.75">
      <c r="A900" s="18"/>
    </row>
    <row r="901" spans="1:1" ht="12.75">
      <c r="A901" s="18"/>
    </row>
    <row r="902" spans="1:1" ht="12.75">
      <c r="A902" s="18"/>
    </row>
    <row r="903" spans="1:1" ht="12.75">
      <c r="A903" s="18"/>
    </row>
    <row r="904" spans="1:1" ht="12.75">
      <c r="A904" s="18"/>
    </row>
    <row r="905" spans="1:1" ht="12.75">
      <c r="A905" s="18"/>
    </row>
    <row r="906" spans="1:1" ht="12.75">
      <c r="A906" s="18"/>
    </row>
    <row r="907" spans="1:1" ht="12.75">
      <c r="A907" s="18"/>
    </row>
    <row r="908" spans="1:1" ht="12.75">
      <c r="A908" s="18"/>
    </row>
    <row r="909" spans="1:1" ht="12.75">
      <c r="A909" s="18"/>
    </row>
    <row r="910" spans="1:1" ht="12.75">
      <c r="A910" s="18"/>
    </row>
    <row r="911" spans="1:1" ht="12.75">
      <c r="A911" s="18"/>
    </row>
    <row r="912" spans="1:1" ht="12.75">
      <c r="A912" s="18"/>
    </row>
    <row r="913" spans="1:1" ht="12.75">
      <c r="A913" s="18"/>
    </row>
    <row r="914" spans="1:1" ht="12.75">
      <c r="A914" s="18"/>
    </row>
    <row r="915" spans="1:1" ht="12.75">
      <c r="A915" s="18"/>
    </row>
    <row r="916" spans="1:1" ht="12.75">
      <c r="A916" s="18"/>
    </row>
    <row r="917" spans="1:1" ht="12.75">
      <c r="A917" s="18"/>
    </row>
    <row r="918" spans="1:1" ht="12.75">
      <c r="A918" s="18"/>
    </row>
    <row r="919" spans="1:1" ht="12.75">
      <c r="A919" s="18"/>
    </row>
    <row r="920" spans="1:1" ht="12.75">
      <c r="A920" s="18"/>
    </row>
    <row r="921" spans="1:1" ht="12.75">
      <c r="A921" s="18"/>
    </row>
    <row r="922" spans="1:1" ht="12.75">
      <c r="A922" s="18"/>
    </row>
    <row r="923" spans="1:1" ht="12.75">
      <c r="A923" s="18"/>
    </row>
    <row r="924" spans="1:1" ht="12.75">
      <c r="A924" s="18"/>
    </row>
    <row r="925" spans="1:1" ht="12.75">
      <c r="A925" s="18"/>
    </row>
    <row r="926" spans="1:1" ht="12.75">
      <c r="A926" s="18"/>
    </row>
    <row r="927" spans="1:1" ht="12.75">
      <c r="A927" s="18"/>
    </row>
    <row r="928" spans="1:1" ht="12.75">
      <c r="A928" s="18"/>
    </row>
    <row r="929" spans="1:1" ht="12.75">
      <c r="A929" s="18"/>
    </row>
    <row r="930" spans="1:1" ht="12.75">
      <c r="A930" s="18"/>
    </row>
    <row r="931" spans="1:1" ht="12.75">
      <c r="A931" s="18"/>
    </row>
    <row r="932" spans="1:1" ht="12.75">
      <c r="A932" s="18"/>
    </row>
    <row r="933" spans="1:1" ht="12.75">
      <c r="A933" s="18"/>
    </row>
    <row r="934" spans="1:1" ht="12.75">
      <c r="A934" s="18"/>
    </row>
    <row r="935" spans="1:1" ht="12.75">
      <c r="A935" s="18"/>
    </row>
    <row r="936" spans="1:1" ht="12.75">
      <c r="A936" s="18"/>
    </row>
    <row r="937" spans="1:1" ht="12.75">
      <c r="A937" s="18"/>
    </row>
    <row r="938" spans="1:1" ht="12.75">
      <c r="A938" s="18"/>
    </row>
    <row r="939" spans="1:1" ht="12.75">
      <c r="A939" s="18"/>
    </row>
    <row r="940" spans="1:1" ht="12.75">
      <c r="A940" s="18"/>
    </row>
    <row r="941" spans="1:1" ht="12.75">
      <c r="A941" s="18"/>
    </row>
    <row r="942" spans="1:1" ht="12.75">
      <c r="A942" s="18"/>
    </row>
    <row r="943" spans="1:1" ht="12.75">
      <c r="A943" s="18"/>
    </row>
    <row r="944" spans="1:1" ht="12.75">
      <c r="A944" s="18"/>
    </row>
    <row r="945" spans="1:1" ht="12.75">
      <c r="A945" s="18"/>
    </row>
    <row r="946" spans="1:1" ht="12.75">
      <c r="A946" s="18"/>
    </row>
    <row r="947" spans="1:1" ht="12.75">
      <c r="A947" s="18"/>
    </row>
    <row r="948" spans="1:1" ht="12.75">
      <c r="A948" s="18"/>
    </row>
    <row r="949" spans="1:1" ht="12.75">
      <c r="A949" s="18"/>
    </row>
    <row r="950" spans="1:1" ht="12.75">
      <c r="A950" s="18"/>
    </row>
    <row r="951" spans="1:1" ht="12.75">
      <c r="A951" s="18"/>
    </row>
    <row r="952" spans="1:1" ht="12.75">
      <c r="A952" s="18"/>
    </row>
    <row r="953" spans="1:1" ht="12.75">
      <c r="A953" s="18"/>
    </row>
    <row r="954" spans="1:1" ht="12.75">
      <c r="A954" s="18"/>
    </row>
    <row r="955" spans="1:1" ht="12.75">
      <c r="A955" s="18"/>
    </row>
    <row r="956" spans="1:1" ht="12.75">
      <c r="A956" s="18"/>
    </row>
    <row r="957" spans="1:1" ht="12.75">
      <c r="A957" s="18"/>
    </row>
  </sheetData>
  <autoFilter ref="B1:B95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"/>
  <sheetViews>
    <sheetView workbookViewId="0"/>
  </sheetViews>
  <sheetFormatPr defaultColWidth="12.5703125" defaultRowHeight="15.75" customHeight="1"/>
  <sheetData>
    <row r="1" spans="1:12">
      <c r="B1" s="19" t="s">
        <v>42</v>
      </c>
      <c r="C1" s="19" t="s">
        <v>43</v>
      </c>
      <c r="D1" s="19" t="s">
        <v>44</v>
      </c>
      <c r="E1" s="19" t="s">
        <v>45</v>
      </c>
      <c r="F1" s="19" t="s">
        <v>46</v>
      </c>
      <c r="G1" s="19" t="s">
        <v>47</v>
      </c>
      <c r="H1" s="19" t="s">
        <v>48</v>
      </c>
      <c r="I1" s="20" t="s">
        <v>49</v>
      </c>
      <c r="J1" s="20" t="s">
        <v>50</v>
      </c>
      <c r="K1" s="19"/>
      <c r="L1" s="19"/>
    </row>
    <row r="2" spans="1:12">
      <c r="A2" s="21">
        <v>44942</v>
      </c>
      <c r="B2" s="13">
        <v>60</v>
      </c>
      <c r="C2" s="13">
        <v>34</v>
      </c>
      <c r="D2" s="13">
        <v>56</v>
      </c>
      <c r="E2" s="13">
        <v>19</v>
      </c>
      <c r="F2" s="13">
        <v>30</v>
      </c>
      <c r="G2" s="13">
        <f t="shared" ref="G2:G3" si="0">SUM(B2:F2)</f>
        <v>199</v>
      </c>
      <c r="H2" s="22">
        <v>1.0995370370370369E-3</v>
      </c>
      <c r="I2" s="13">
        <f t="shared" ref="I2:I3" si="1">SECOND(H2)+MINUTE(H2)*60</f>
        <v>95</v>
      </c>
      <c r="J2" s="13">
        <f t="shared" ref="J2:J3" si="2">G2-I2</f>
        <v>104</v>
      </c>
    </row>
    <row r="3" spans="1:12">
      <c r="A3" s="21">
        <v>45030</v>
      </c>
      <c r="B3" s="13">
        <v>71</v>
      </c>
      <c r="C3" s="13">
        <v>41</v>
      </c>
      <c r="D3" s="13">
        <v>60</v>
      </c>
      <c r="E3" s="13">
        <v>21</v>
      </c>
      <c r="F3" s="13">
        <v>40</v>
      </c>
      <c r="G3" s="13">
        <f t="shared" si="0"/>
        <v>233</v>
      </c>
      <c r="H3" s="22">
        <v>1.1111111111111111E-3</v>
      </c>
      <c r="I3" s="13">
        <f t="shared" si="1"/>
        <v>96</v>
      </c>
      <c r="J3" s="13">
        <f t="shared" si="2"/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MasterData</vt:lpstr>
      <vt:lpstr>Rafters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Wichers</dc:creator>
  <cp:lastModifiedBy>Joshua Wichers</cp:lastModifiedBy>
  <dcterms:created xsi:type="dcterms:W3CDTF">2026-06-25T03:06:12Z</dcterms:created>
  <dcterms:modified xsi:type="dcterms:W3CDTF">2026-10-03T14:34:42Z</dcterms:modified>
</cp:coreProperties>
</file>